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2" documentId="11_C8A876209441D2CEEB3B98154B5DCE3A0742A5AD" xr6:coauthVersionLast="47" xr6:coauthVersionMax="47" xr10:uidLastSave="{E2D4CE66-801A-4FA1-A4DF-4E0F5B2548CB}"/>
  <bookViews>
    <workbookView xWindow="-120" yWindow="-120" windowWidth="20730" windowHeight="11760" activeTab="1" xr2:uid="{00000000-000D-0000-FFFF-FFFF00000000}"/>
  </bookViews>
  <sheets>
    <sheet name="Sheet1" sheetId="2" r:id="rId1"/>
    <sheet name="Dashboard" sheetId="4" r:id="rId2"/>
    <sheet name="Ecommerce_Data" sheetId="1" r:id="rId3"/>
  </sheets>
  <definedNames>
    <definedName name="Slicer_Category">#N/A</definedName>
    <definedName name="Slicer_City">#N/A</definedName>
    <definedName name="Slicer_Month">#N/A</definedName>
  </definedNames>
  <calcPr calcId="191029"/>
  <pivotCaches>
    <pivotCache cacheId="1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4" l="1"/>
  <c r="F3" i="4"/>
  <c r="B3"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<sst xmlns="http://schemas.openxmlformats.org/spreadsheetml/2006/main" count="3070" uniqueCount="368">
  <si>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</si>
  <si>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</si>
  <si>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</si>
  <si>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</si>
  <si>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</si>
  <si>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</si>
  <si>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</si>
  <si>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</si>
  <si>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</si>
  <si>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</si>
  <si>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</si>
  <si>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</si>
  <si>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</si>
  <si>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</si>
  <si>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</si>
  <si>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</si>
  <si>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</si>
  <si>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</si>
  <si>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</si>
  <si>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</si>
  <si>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</si>
  <si>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</si>
  <si>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</si>
  <si>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</si>
  <si>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</si>
  <si>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</si>
  <si>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</si>
  <si>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</si>
  <si>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</si>
  <si>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</si>
  <si>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</si>
  <si>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</si>
  <si>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</si>
  <si>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</si>
  <si>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</si>
  <si>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</si>
  <si>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</si>
  <si>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</si>
  <si>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</si>
  <si>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</si>
  <si>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</si>
  <si>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</si>
  <si>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</si>
  <si>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</si>
  <si>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</si>
  <si>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</si>
  <si>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</si>
  <si>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</si>
  <si>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</si>
  <si>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</si>
  <si>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</si>
  <si>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</si>
  <si>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</si>
  <si>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</si>
  <si>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</si>
  <si>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</si>
  <si>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</si>
  <si>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</si>
  <si>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</si>
  <si>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</si>
  <si>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</si>
  <si>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</si>
  <si>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</si>
  <si>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</si>
  <si>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</si>
  <si>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</si>
  <si>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</si>
  <si>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</si>
  <si>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</si>
  <si>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</si>
  <si>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</si>
  <si>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</si>
  <si>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</si>
  <si>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</si>
  <si>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</si>
  <si>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</si>
  <si>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</si>
  <si>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</si>
  <si>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</si>
  <si>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</si>
  <si>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</si>
  <si>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</si>
  <si>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</si>
  <si>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</si>
  <si>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</si>
  <si>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</si>
  <si>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</si>
  <si>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</si>
  <si>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</si>
  <si>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</si>
  <si>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</si>
  <si>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</si>
  <si>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</si>
  <si>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</si>
  <si>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</si>
  <si>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</si>
  <si>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</si>
  <si>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</si>
  <si>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</si>
  <si>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</si>
  <si>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</si>
  <si>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</si>
  <si>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</si>
  <si>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</si>
  <si>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</si>
  <si>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</si>
  <si>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</si>
  <si>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</si>
  <si>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</si>
  <si>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</si>
  <si>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</si>
  <si>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</si>
  <si>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</si>
  <si>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</si>
  <si>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</si>
  <si>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</si>
  <si>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</si>
  <si>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</si>
  <si>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</si>
  <si>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</si>
  <si>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</si>
  <si>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</si>
  <si>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</si>
  <si>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</si>
  <si>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</si>
  <si>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</si>
  <si>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</si>
  <si>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</si>
  <si>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</si>
  <si>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</si>
  <si>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</si>
  <si>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</si>
  <si>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</si>
  <si>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</si>
  <si>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</si>
  <si>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</si>
  <si>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</si>
  <si>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</si>
  <si>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</si>
  <si>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</si>
  <si>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</si>
  <si>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</si>
  <si>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</si>
  <si>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</si>
  <si>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</si>
  <si>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</si>
  <si>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</si>
  <si>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</si>
  <si>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</si>
  <si>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</si>
  <si>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</si>
  <si>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</si>
  <si>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</si>
  <si>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</si>
  <si>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</si>
  <si>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</si>
  <si>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</si>
  <si>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</si>
  <si>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</si>
  <si>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</si>
  <si>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</si>
  <si>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</si>
  <si>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</si>
  <si>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</si>
  <si>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</si>
  <si>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</si>
  <si>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</si>
  <si>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</si>
  <si>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</si>
  <si>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</si>
  <si>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</si>
  <si>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</si>
  <si>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</si>
  <si>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</si>
  <si>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</si>
  <si>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</si>
  <si>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</si>
  <si>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</si>
  <si>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</si>
  <si>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</si>
  <si>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</si>
  <si>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</si>
  <si>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</si>
  <si>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</si>
  <si>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</si>
  <si>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</si>
  <si>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</si>
  <si>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</si>
  <si>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</si>
  <si>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</si>
  <si>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</si>
  <si>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</si>
  <si>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</si>
  <si>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</si>
  <si>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</si>
  <si>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</si>
  <si>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</si>
  <si>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</si>
  <si>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</si>
  <si>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</si>
  <si>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</si>
  <si>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</si>
  <si>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</si>
  <si>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</si>
  <si>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</si>
  <si>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</si>
  <si>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</si>
  <si>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</si>
  <si>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</si>
  <si>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</si>
  <si>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</si>
  <si>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</si>
  <si>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</si>
  <si>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</si>
  <si>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</si>
  <si>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</si>
  <si>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</si>
  <si>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</si>
  <si>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</si>
  <si>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</si>
  <si>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</si>
  <si>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</si>
  <si>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</si>
  <si>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</si>
  <si>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</si>
  <si>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</si>
  <si>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</si>
  <si>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</si>
  <si>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</si>
  <si>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</si>
  <si>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</si>
  <si>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</si>
  <si>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</si>
  <si>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</si>
  <si>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</si>
  <si>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</si>
  <si>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</si>
  <si>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</si>
  <si>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</si>
  <si>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</si>
  <si>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</si>
  <si>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</si>
  <si>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</si>
  <si>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</si>
  <si>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</si>
  <si>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</si>
  <si>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</si>
  <si>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</si>
  <si>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</si>
  <si>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</si>
  <si>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</si>
  <si>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</si>
  <si>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</si>
  <si>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</si>
  <si>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</si>
  <si>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</si>
  <si>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</si>
  <si>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</si>
  <si>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</si>
  <si>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</si>
  <si>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</si>
  <si>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</si>
  <si>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</si>
  <si>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</si>
  <si>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</si>
  <si>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</si>
  <si>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</si>
  <si>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</si>
  <si>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</si>
  <si>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</si>
  <si>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</si>
  <si>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</si>
  <si>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</si>
  <si>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</si>
  <si>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</si>
  <si>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</si>
  <si>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</si>
  <si>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</si>
  <si>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</si>
  <si>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</si>
  <si>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</si>
  <si>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</si>
  <si>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</si>
  <si>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</si>
  <si>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</si>
  <si>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</si>
  <si>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</si>
  <si>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</si>
  <si>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</si>
  <si>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</si>
  <si>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</si>
  <si>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</si>
  <si>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</si>
  <si>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</si>
  <si>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</si>
  <si>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</si>
  <si>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</si>
  <si>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</si>
  <si>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</si>
  <si>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</si>
  <si>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</si>
  <si>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</si>
  <si>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</si>
  <si>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</si>
  <si>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</si>
  <si>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</si>
  <si>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</si>
  <si>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</si>
  <si>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</si>
  <si>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</si>
  <si>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</si>
  <si>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</si>
  <si>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</si>
  <si>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</si>
  <si>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</si>
  <si>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</si>
  <si>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</si>
  <si>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</si>
  <si>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</si>
  <si>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</si>
  <si>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</si>
  <si>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</si>
  <si>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</si>
  <si>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</si>
  <si>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</si>
  <si>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</si>
  <si>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</si>
  <si>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</si>
  <si>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</si>
  <si>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</si>
  <si>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</si>
  <si>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</si>
  <si>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</si>
  <si>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</si>
  <si>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</si>
  <si>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</si>
  <si>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</si>
  <si>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</si>
  <si>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</si>
  <si>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</si>
  <si>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</si>
  <si>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</si>
  <si>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</si>
  <si>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</si>
  <si>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</si>
  <si>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</si>
  <si>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</si>
  <si>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</si>
  <si>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</si>
  <si>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</si>
  <si>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</si>
  <si>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</si>
  <si>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</si>
  <si>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</si>
  <si>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</si>
  <si>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</si>
  <si>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</si>
  <si>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</si>
  <si>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</si>
  <si>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</si>
  <si>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</si>
  <si>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</si>
  <si>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</si>
  <si>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</si>
  <si>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</si>
  <si>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</si>
  <si>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E-Commerce Sales Dashboard</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</si>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</sst>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0" formatCode="[$-F800]dddd\,\ mmmm\ dd\,\ yyyy"/>
  </numFmts>
  <fonts count="4" x14ac:knownFonts="1">
    <font>
      <sz val="11"/>
      <color theme="1"/>
      <name val="Calibri"/>
      <family val="2"/>
      <scheme val="minor"/>
    </font>
    <font>
      <sz val="8"/>
      <name val="Calibri"/>
      <family val="2"/>
      <scheme val="minor"/>
    </font>
    <font>
      <sz val="18"/>
      <color theme="1"/>
      <name val="Calibri"/>
      <family val="2"/>
      <scheme val="minor"/>
    </font>
    <font>
      <b/>
      <sz val="24"/>
      <color theme="1"/>
      <name val="Aptos Display"/>
      <family val="2"/>
    </font>
  </fonts>
  <fills count="3">
    <fill>
      <patternFill patternType="none"/>
    </fill>
    <fill>
      <patternFill patternType="gray125"/>
    </fill>
    <fill>
      <patternFill patternType="solid">
        <fgColor theme="4" tint="0.79998168889431442"/>
        <bgColor indexed="64"/>
      </patternFill>
    </fill>
  </fills>
  <borders count="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1">
    <xf numFmtId="0" fontId="0" fillId="0" borderId="0" xfId="0"/>
    <xf numFmtId="17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3" fillId="2" borderId="0" xfId="0" applyFont="1" applyFill="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cellXfs>
  <cellStyles count="1">
    <cellStyle name="Normal" xfId="0" builtinId="0"/>
  </cellStyles>
  <dxfs count="3">
    <dxf>
      <numFmt numFmtId="0" formatCode="General"/>
    </dxf>
    <dxf>
      <numFmt numFmtId="19" formatCode="m/d/yyyy"/>
    </dxf>
    <dxf>
      <numFmt numFmtId="170" formatCode="[$-F800]dddd\,\ mmmm\ dd\,\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[ecommerce_dataset.xlsx]Sheet1!PivotTable1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Cetegory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Sheet1!$A$4:$A$7</c:f>
              <c:strCache>
                <c:ptCount val="3"/>
                <c:pt idx="0">
                  <c:v>Accessories</c:v>
                </c:pt>
                <c:pt idx="1">
                  <c:v>Electronics</c:v>
                </c:pt>
                <c:pt idx="2">
                  <c:v>Fashion</c:v>
                </c:pt>
              </c:strCache>
            </c:strRef>
          </c:cat>
          <c:val>
            <c:numRef>
              <c:f>Sheet1!$B$4:$B$7</c:f>
              <c:numCache>
                <c:formatCode>General</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0"/>
          <c:showBubbleSize val="0"/>
        </c:dLbls>
        <c:gapWidth val="182"/>
        <c:axId val="327972095"/>
        <c:axId val="327974015"/>
      </c:barChart>
      <c:catAx>
        <c:axId val="327972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4015"/>
        <c:crosses val="autoZero"/>
        <c:auto val="1"/>
        <c:lblAlgn val="ctr"/>
        <c:lblOffset val="100"/>
        <c:noMultiLvlLbl val="0"/>
      </c:catAx>
      <c:valAx>
        <c:axId val="327974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[ecommerce_dataset.xlsx]Sheet1!PivotTable4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Sheet1!$H$13</c:f>
              <c:strCache>
                <c:ptCount val="1"/>
                <c:pt idx="0">
                  <c:v>Total</c:v>
                </c:pt>
              </c:strCache>
            </c:strRef>
          </c:tx>
          <c:spPr>
            <a:ln w="28575" cap="rnd">
              <a:solidFill>
                <a:schemeClr val="accent1"/>
              </a:solidFill>
              <a:round/>
            </a:ln>
            <a:effectLst/>
          </c:spPr>
          <c:marker>
            <c:symbol val="none"/>
          </c:marker>
          <c:cat>
            <c:strRef>
              <c:f>Sheet1!$G$14:$G$26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Sheet1!$H$14:$H$26</c:f>
              <c:numCache>
                <c:formatCode>General</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[ecommerce_dataset.xlsx]Sheet1!PivotTable3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c:f>
              <c:strCache>
                <c:ptCount val="1"/>
                <c:pt idx="0">
                  <c:v>Total</c:v>
                </c:pt>
              </c:strCache>
            </c:strRef>
          </c:tx>
          <c:spPr>
            <a:solidFill>
              <a:schemeClr val="accent1"/>
            </a:solidFill>
            <a:ln>
              <a:noFill/>
            </a:ln>
            <a:effectLst/>
          </c:spPr>
          <c:invertIfNegative val="0"/>
          <c:cat>
            <c:strRef>
              <c:f>Sheet1!$A$14:$A$21</c:f>
              <c:strCache>
                <c:ptCount val="7"/>
                <c:pt idx="0">
                  <c:v>Ahmedabad</c:v>
                </c:pt>
                <c:pt idx="1">
                  <c:v>Bangalore</c:v>
                </c:pt>
                <c:pt idx="2">
                  <c:v>Delhi</c:v>
                </c:pt>
                <c:pt idx="3">
                  <c:v>Jaipur</c:v>
                </c:pt>
                <c:pt idx="4">
                  <c:v>Mumbai</c:v>
                </c:pt>
                <c:pt idx="5">
                  <c:v>Pune</c:v>
                </c:pt>
                <c:pt idx="6">
                  <c:v>Surat</c:v>
                </c:pt>
              </c:strCache>
            </c:strRef>
          </c:cat>
          <c:val>
            <c:numRef>
              <c:f>Sheet1!$B$14:$B$21</c:f>
              <c:numCache>
                <c:formatCode>General</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219"/>
        <c:overlap val="-27"/>
        <c:axId val="335778015"/>
        <c:axId val="335798175"/>
      </c:barChart>
      <c:catAx>
        <c:axId val="33577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[ecommerce_dataset.xlsx]Sheet1!PivotTable5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Cetegorical</a:t>
            </a:r>
            <a:r>
              <a:rPr lang="en-IN" baseline="0"/>
              <a:t> Share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Sheet1!$E$13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C-4A12-9D06-635573A1CB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C-4A12-9D06-635573A1CB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C-4A12-9D06-635573A1CB93}"/>
              </c:ext>
            </c:extLst>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Sheet1!$D$14:$D$22</c:f>
              <c:strCache>
                <c:ptCount val="8"/>
                <c:pt idx="0">
                  <c:v>Bag</c:v>
                </c:pt>
                <c:pt idx="1">
                  <c:v>Headphones</c:v>
                </c:pt>
                <c:pt idx="2">
                  <c:v>Jeans</c:v>
                </c:pt>
                <c:pt idx="3">
                  <c:v>Laptop</c:v>
                </c:pt>
                <c:pt idx="4">
                  <c:v>Phone</c:v>
                </c:pt>
                <c:pt idx="5">
                  <c:v>Shoes</c:v>
                </c:pt>
                <c:pt idx="6">
                  <c:v>T-Shirt</c:v>
                </c:pt>
                <c:pt idx="7">
                  <c:v>Watch</c:v>
                </c:pt>
              </c:strCache>
            </c:strRef>
          </c:cat>
          <c:val>
            <c:numRef>
              <c:f>Sheet1!$E$14:$E$22</c:f>
              <c:numCache>
                <c:formatCode>General</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200024</xdr:colOff>
      <xdr:row>5</xdr:row>
      <xdr:rowOff>133349</xdr:rowOff>
    </xdr:from>
    <xdr:to>
      <xdr:col>7</xdr:col>
      <xdr:colOff>0</xdr:colOff>
      <xdr:row>18</xdr:row>
      <xdr:rowOff>104775</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238124</xdr:colOff>
      <xdr:row>5</xdr:row>
      <xdr:rowOff>133350</xdr:rowOff>
    </xdr:from>
    <xdr:to>
      <xdr:col>14</xdr:col>
      <xdr:colOff>495299</xdr:colOff>
      <xdr:row>18</xdr:row>
      <xdr:rowOff>76200</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200025</xdr:colOff>
      <xdr:row>19</xdr:row>
      <xdr:rowOff>114299</xdr:rowOff>
    </xdr:from>
    <xdr:to>
      <xdr:col>7</xdr:col>
      <xdr:colOff>95250</xdr:colOff>
      <xdr:row>32</xdr:row>
      <xdr:rowOff>47624</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361950</xdr:colOff>
      <xdr:row>19</xdr:row>
      <xdr:rowOff>114301</xdr:rowOff>
    </xdr:from>
    <xdr:to>
      <xdr:col>14</xdr:col>
      <xdr:colOff>419100</xdr:colOff>
      <xdr:row>32</xdr:row>
      <xdr:rowOff>19051</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114300</xdr:colOff>
      <xdr:row>5</xdr:row>
      <xdr:rowOff>180976</xdr:rowOff>
    </xdr:from>
    <xdr:to>
      <xdr:col>18</xdr:col>
      <xdr:colOff>114300</xdr:colOff>
      <xdr:row>17</xdr:row>
      <xdr:rowOff>161926</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9258300" y="1362076"/>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152400</xdr:colOff>
      <xdr:row>0</xdr:row>
      <xdr:rowOff>76200</xdr:rowOff>
    </xdr:from>
    <xdr:to>
      <xdr:col>15</xdr:col>
      <xdr:colOff>152400</xdr:colOff>
      <xdr:row>5</xdr:row>
      <xdr:rowOff>85725</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7467600" y="76200"/>
              <a:ext cx="1828800" cy="1190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142875</xdr:colOff>
      <xdr:row>20</xdr:row>
      <xdr:rowOff>19050</xdr:rowOff>
    </xdr:from>
    <xdr:to>
      <xdr:col>18</xdr:col>
      <xdr:colOff>142875</xdr:colOff>
      <xdr:row>33</xdr:row>
      <xdr:rowOff>66675</xdr:rowOff>
    </xdr:to>
    <mc:AlternateContent xmlns:mc="http://schemas.openxmlformats.org/markup-compatibility/2006">
      <mc:Choice xmlns:a14="http://schemas.microsoft.com/office/drawing/2010/main" Requires="a14">
        <xdr:graphicFrame macro="">
          <xdr:nvGraphicFramePr>
            <xdr:cNvPr id="10" name="Month">
              <a:extLst>
                <a:ext uri="{FF2B5EF4-FFF2-40B4-BE49-F238E27FC236}">
                  <a16:creationId xmlns:a16="http://schemas.microsoft.com/office/drawing/2014/main" id="{445F66F3-2BA1-47A7-88D1-BCBE2440939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9286875" y="4057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70">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PivotTable6"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4:K27"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3:E2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3:H26"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3:B21"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PivotTable3"/>
    <pivotTable tabId="2" name="PivotTable1"/>
    <pivotTable tabId="2" name="PivotTable4"/>
    <pivotTable tabId="2" name="PivotTable5"/>
    <pivotTable tabId="2" name="PivotTable6"/>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PivotTable3"/>
    <pivotTable tabId="2" name="PivotTable1"/>
    <pivotTable tabId="2" name="PivotTable4"/>
    <pivotTable tabId="2" name="PivotTable5"/>
    <pivotTable tabId="2" name="PivotTable6"/>
  </pivotTables>
  <data>
    <tabular pivotCacheId="6012499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F836BAC-2648-451C-868E-04E11FD8359F}" sourceName="Month">
  <pivotTables>
    <pivotTable tabId="2" name="PivotTable3"/>
    <pivotTable tabId="2" name="PivotTable1"/>
    <pivotTable tabId="2" name="PivotTable4"/>
    <pivotTable tabId="2" name="PivotTable5"/>
    <pivotTable tabId="2" name="PivotTable6"/>
  </pivotTables>
  <data>
    <tabular pivotCacheId="601249990">
      <items count="12">
        <i x="11" s="1"/>
        <i x="10" s="1"/>
        <i x="0" s="1"/>
        <i x="7" s="1"/>
        <i x="8" s="1"/>
        <i x="3" s="1"/>
        <i x="5" s="1"/>
        <i x="4" s="1"/>
        <i x="2" s="1"/>
        <i x="1"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rowHeight="241300"/>
  <slicer name="Category" xr10:uid="{AB868006-6975-452F-B591-E9BD8DD35C18}" cache="Slicer_Category" caption="Category" rowHeight="241300"/>
  <slicer name="Month" xr10:uid="{44005C79-6807-4914-8C36-079DD86993E5}"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1"/>
    <tableColumn id="13" xr3:uid="{E59D46AD-691E-4CC6-BA8F-673D0988BF7F}" name="Month" dataDxfId="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A3:K27"/>
  <sheetViews>
    <sheetView workbookViewId="0">
      <selection activeCell="G2" sqref="G2"/>
    </sheetView>
  </sheetViews>
  <sheetFormatPr defaultRowHeight="15" x14ac:dyDescent="0.25"/>
  <cols>
    <col min="1" max="1" width="13.140625" bestFit="1" customWidth="1"/>
    <col min="2" max="2" width="17.28515625" bestFit="1" customWidth="1"/>
    <col min="4" max="4" width="13.140625" bestFit="1" customWidth="1"/>
    <col min="5" max="6" width="17.28515625" bestFit="1" customWidth="1"/>
    <col min="7" max="7" width="13.140625" bestFit="1" customWidth="1"/>
    <col min="8" max="8" width="17.28515625" bestFit="1" customWidth="1"/>
    <col min="9" max="10" width="13.140625" bestFit="1" customWidth="1"/>
    <col min="11" max="12" width="17.28515625" bestFit="1" customWidth="1"/>
  </cols>
  <sheetData>
    <row r="3" spans="1:11" x14ac:dyDescent="0.25">
      <c r="A3" s="3" t="s">
        <v>351</v>
      </c>
      <c r="B3" t="s">
        <v>353</v>
      </c>
    </row>
    <row r="4" spans="1:11" x14ac:dyDescent="0.25">
      <c r="A4" s="4" t="s">
        <v>44</v>
      </c>
      <c r="B4" s="5">
        <v>1385000</v>
      </c>
    </row>
    <row r="5" spans="1:11" x14ac:dyDescent="0.25">
      <c r="A5" s="4" t="s">
        <v>22</v>
      </c>
      <c r="B5" s="5">
        <v>16567500</v>
      </c>
    </row>
    <row r="6" spans="1:11" x14ac:dyDescent="0.25">
      <c r="A6" s="4" t="s">
        <v>13</v>
      </c>
      <c r="B6" s="5">
        <v>1205600</v>
      </c>
    </row>
    <row r="7" spans="1:11" x14ac:dyDescent="0.25">
      <c r="A7" s="4" t="s">
        <v>352</v>
      </c>
      <c r="B7" s="5">
        <v>19158100</v>
      </c>
    </row>
    <row r="13" spans="1:11" x14ac:dyDescent="0.25">
      <c r="A13" s="3" t="s">
        <v>351</v>
      </c>
      <c r="B13" t="s">
        <v>353</v>
      </c>
      <c r="D13" s="3" t="s">
        <v>351</v>
      </c>
      <c r="E13" t="s">
        <v>353</v>
      </c>
      <c r="G13" s="3" t="s">
        <v>351</v>
      </c>
      <c r="H13" t="s">
        <v>353</v>
      </c>
    </row>
    <row r="14" spans="1:11" x14ac:dyDescent="0.25">
      <c r="A14" s="4" t="s">
        <v>39</v>
      </c>
      <c r="B14" s="5">
        <v>2737200</v>
      </c>
      <c r="D14" s="4" t="s">
        <v>43</v>
      </c>
      <c r="E14" s="5">
        <v>315000</v>
      </c>
      <c r="G14" s="4" t="s">
        <v>354</v>
      </c>
      <c r="H14" s="5">
        <v>2075900</v>
      </c>
      <c r="J14" s="3" t="s">
        <v>351</v>
      </c>
      <c r="K14" t="s">
        <v>353</v>
      </c>
    </row>
    <row r="15" spans="1:11" x14ac:dyDescent="0.25">
      <c r="A15" s="4" t="s">
        <v>25</v>
      </c>
      <c r="B15" s="5">
        <v>2996300</v>
      </c>
      <c r="D15" s="4" t="s">
        <v>26</v>
      </c>
      <c r="E15" s="5">
        <v>587500</v>
      </c>
      <c r="G15" s="4" t="s">
        <v>355</v>
      </c>
      <c r="H15" s="5">
        <v>1004500</v>
      </c>
      <c r="J15" s="4" t="s">
        <v>42</v>
      </c>
      <c r="K15" s="5">
        <v>749900</v>
      </c>
    </row>
    <row r="16" spans="1:11" x14ac:dyDescent="0.25">
      <c r="A16" s="4" t="s">
        <v>16</v>
      </c>
      <c r="B16" s="5">
        <v>1914000</v>
      </c>
      <c r="D16" s="4" t="s">
        <v>51</v>
      </c>
      <c r="E16" s="5">
        <v>414000</v>
      </c>
      <c r="G16" s="4" t="s">
        <v>356</v>
      </c>
      <c r="H16" s="5">
        <v>1088700</v>
      </c>
      <c r="J16" s="4" t="s">
        <v>53</v>
      </c>
      <c r="K16" s="5">
        <v>1526900</v>
      </c>
    </row>
    <row r="17" spans="1:11" x14ac:dyDescent="0.25">
      <c r="A17" s="4" t="s">
        <v>33</v>
      </c>
      <c r="B17" s="5">
        <v>3072800</v>
      </c>
      <c r="D17" s="4" t="s">
        <v>21</v>
      </c>
      <c r="E17" s="5">
        <v>11400000</v>
      </c>
      <c r="G17" s="4" t="s">
        <v>357</v>
      </c>
      <c r="H17" s="5">
        <v>1215100</v>
      </c>
      <c r="J17" s="4" t="s">
        <v>24</v>
      </c>
      <c r="K17" s="5">
        <v>1139000</v>
      </c>
    </row>
    <row r="18" spans="1:11" x14ac:dyDescent="0.25">
      <c r="A18" s="4" t="s">
        <v>11</v>
      </c>
      <c r="B18" s="5">
        <v>2920500</v>
      </c>
      <c r="D18" s="4" t="s">
        <v>35</v>
      </c>
      <c r="E18" s="5">
        <v>4580000</v>
      </c>
      <c r="G18" s="4" t="s">
        <v>358</v>
      </c>
      <c r="H18" s="5">
        <v>1553100</v>
      </c>
      <c r="J18" s="4" t="s">
        <v>28</v>
      </c>
      <c r="K18" s="5">
        <v>2066300</v>
      </c>
    </row>
    <row r="19" spans="1:11" x14ac:dyDescent="0.25">
      <c r="A19" s="4" t="s">
        <v>47</v>
      </c>
      <c r="B19" s="5">
        <v>2604000</v>
      </c>
      <c r="D19" s="4" t="s">
        <v>17</v>
      </c>
      <c r="E19" s="5">
        <v>606000</v>
      </c>
      <c r="G19" s="4" t="s">
        <v>359</v>
      </c>
      <c r="H19" s="5">
        <v>2927200</v>
      </c>
      <c r="J19" s="4" t="s">
        <v>10</v>
      </c>
      <c r="K19" s="5">
        <v>1121800</v>
      </c>
    </row>
    <row r="20" spans="1:11" x14ac:dyDescent="0.25">
      <c r="A20" s="4" t="s">
        <v>20</v>
      </c>
      <c r="B20" s="5">
        <v>2913300</v>
      </c>
      <c r="D20" s="4" t="s">
        <v>12</v>
      </c>
      <c r="E20" s="5">
        <v>185600</v>
      </c>
      <c r="G20" s="4" t="s">
        <v>360</v>
      </c>
      <c r="H20" s="5">
        <v>1340000</v>
      </c>
      <c r="J20" s="4" t="s">
        <v>50</v>
      </c>
      <c r="K20" s="5">
        <v>2391600</v>
      </c>
    </row>
    <row r="21" spans="1:11" x14ac:dyDescent="0.25">
      <c r="A21" s="4" t="s">
        <v>352</v>
      </c>
      <c r="B21" s="5">
        <v>19158100</v>
      </c>
      <c r="D21" s="4" t="s">
        <v>48</v>
      </c>
      <c r="E21" s="5">
        <v>1070000</v>
      </c>
      <c r="G21" s="4" t="s">
        <v>361</v>
      </c>
      <c r="H21" s="5">
        <v>1671200</v>
      </c>
      <c r="J21" s="4" t="s">
        <v>38</v>
      </c>
      <c r="K21" s="5">
        <v>1752800</v>
      </c>
    </row>
    <row r="22" spans="1:11" x14ac:dyDescent="0.25">
      <c r="D22" s="4" t="s">
        <v>352</v>
      </c>
      <c r="E22" s="5">
        <v>19158100</v>
      </c>
      <c r="G22" s="4" t="s">
        <v>362</v>
      </c>
      <c r="H22" s="5">
        <v>1662900</v>
      </c>
      <c r="J22" s="4" t="s">
        <v>19</v>
      </c>
      <c r="K22" s="5">
        <v>934900</v>
      </c>
    </row>
    <row r="23" spans="1:11" x14ac:dyDescent="0.25">
      <c r="G23" s="4" t="s">
        <v>363</v>
      </c>
      <c r="H23" s="5">
        <v>1699400</v>
      </c>
      <c r="J23" s="4" t="s">
        <v>15</v>
      </c>
      <c r="K23" s="5">
        <v>1588100</v>
      </c>
    </row>
    <row r="24" spans="1:11" x14ac:dyDescent="0.25">
      <c r="G24" s="4" t="s">
        <v>364</v>
      </c>
      <c r="H24" s="5">
        <v>1319900</v>
      </c>
      <c r="J24" s="4" t="s">
        <v>57</v>
      </c>
      <c r="K24" s="5">
        <v>3068200</v>
      </c>
    </row>
    <row r="25" spans="1:11" x14ac:dyDescent="0.25">
      <c r="G25" s="4" t="s">
        <v>365</v>
      </c>
      <c r="H25" s="5">
        <v>1600200</v>
      </c>
      <c r="J25" s="4" t="s">
        <v>32</v>
      </c>
      <c r="K25" s="5">
        <v>1144000</v>
      </c>
    </row>
    <row r="26" spans="1:11" x14ac:dyDescent="0.25">
      <c r="G26" s="4" t="s">
        <v>352</v>
      </c>
      <c r="H26" s="5">
        <v>19158100</v>
      </c>
      <c r="J26" s="4" t="s">
        <v>30</v>
      </c>
      <c r="K26" s="5">
        <v>1674600</v>
      </c>
    </row>
    <row r="27" spans="1:11" x14ac:dyDescent="0.25">
      <c r="J27" s="4" t="s">
        <v>352</v>
      </c>
      <c r="K27" s="5">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1:K4"/>
  <sheetViews>
    <sheetView showGridLines="0" showRowColHeaders="0" tabSelected="1" workbookViewId="0">
      <selection activeCell="T3" sqref="T3"/>
    </sheetView>
  </sheetViews>
  <sheetFormatPr defaultRowHeight="15" x14ac:dyDescent="0.25"/>
  <sheetData>
    <row r="1" spans="1:11" ht="31.5" x14ac:dyDescent="0.5">
      <c r="A1" s="6" t="s">
        <v>366</v>
      </c>
      <c r="B1" s="6"/>
      <c r="C1" s="6"/>
      <c r="D1" s="6"/>
      <c r="E1" s="6"/>
      <c r="F1" s="6"/>
      <c r="G1" s="6"/>
      <c r="H1" s="6"/>
    </row>
    <row r="2" spans="1:11" ht="15.75" thickBot="1" x14ac:dyDescent="0.3"/>
    <row r="3" spans="1:11" x14ac:dyDescent="0.25">
      <c r="B3" s="7">
        <f>SUM(Ecommerce_Data[Total Sales])</f>
        <v>19158100</v>
      </c>
      <c r="C3" s="8"/>
      <c r="F3" s="7">
        <f>COUNTA(Ecommerce_Data[Order ID])</f>
        <v>600</v>
      </c>
      <c r="G3" s="8"/>
      <c r="J3" s="7">
        <f>SUM(Ecommerce_Data[Quantity])</f>
        <v>1757</v>
      </c>
      <c r="K3" s="8"/>
    </row>
    <row r="4" spans="1:11" ht="15.75" thickBot="1" x14ac:dyDescent="0.3">
      <c r="B4" s="9"/>
      <c r="C4" s="10"/>
      <c r="F4" s="9"/>
      <c r="G4" s="10"/>
      <c r="J4" s="9"/>
      <c r="K4" s="10"/>
    </row>
  </sheetData>
  <mergeCells count="4">
    <mergeCell ref="A1:H1"/>
    <mergeCell ref="B3:C4"/>
    <mergeCell ref="F3:G4"/>
    <mergeCell ref="J3:K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L2" sqref="L2"/>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367</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2026-04-02T07:32:29Z</dcterms:modified>
</cp:coreProperties>
</file>