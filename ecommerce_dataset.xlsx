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29" documentId="11_C8A876209441D2CEEB3B98154B5DCE3A0742A5AD" xr6:coauthVersionLast="47" xr6:coauthVersionMax="47" xr10:uidLastSave="{4D2564AD-456C-4F9A-9C92-EB17404A6467}"/>
  <bookViews>
    <workbookView xWindow="-120" yWindow="-120" windowWidth="20730" windowHeight="11760" activeTab="1" xr2:uid="{00000000-000D-0000-FFFF-FFFF00000000}"/>
  </bookViews>
  <sheets>
    <sheet name="Pivots" sheetId="2" r:id="rId1"/>
    <sheet name="Dashboard" sheetId="4" r:id="rId2"/>
    <sheet name="Ecommerce_Data" sheetId="1" r:id="rId3"/>
  </sheets>
  <definedNames>
    <definedName name="Slicer_Category">#N/A</definedName>
    <definedName name="Slicer_City">#N/A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16" i="2"/>
  <c r="F13" i="2"/>
  <c r="F7" i="2"/>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<sst xmlns="http://schemas.openxmlformats.org/spreadsheetml/2006/main" count="3074" uniqueCount="372">
  <si>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</si>
  <si>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</si>
  <si>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</si>
  <si>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</si>
  <si>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</si>
  <si>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</si>
  <si>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</si>
  <si>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</si>
  <si>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</si>
  <si>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</si>
  <si>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</si>
  <si>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</si>
  <si>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</si>
  <si>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</si>
  <si>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</si>
  <si>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</si>
  <si>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</si>
  <si>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</si>
  <si>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</si>
  <si>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</si>
  <si>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</si>
  <si>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</si>
  <si>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</si>
  <si>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</si>
  <si>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</si>
  <si>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</si>
  <si>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</si>
  <si>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</si>
  <si>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</si>
  <si>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</si>
  <si>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</si>
  <si>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</si>
  <si>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</si>
  <si>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</si>
  <si>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</si>
  <si>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</si>
  <si>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</si>
  <si>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</si>
  <si>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</si>
  <si>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</si>
  <si>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</si>
  <si>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</si>
  <si>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</si>
  <si>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</si>
  <si>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</si>
  <si>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</si>
  <si>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</si>
  <si>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</si>
  <si>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</si>
  <si>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</si>
  <si>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</si>
  <si>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</si>
  <si>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</si>
  <si>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</si>
  <si>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</si>
  <si>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</si>
  <si>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</si>
  <si>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</si>
  <si>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</si>
  <si>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</si>
  <si>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</si>
  <si>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</si>
  <si>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</si>
  <si>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</si>
  <si>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</si>
  <si>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</si>
  <si>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</si>
  <si>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</si>
  <si>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</si>
  <si>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</si>
  <si>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</si>
  <si>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</si>
  <si>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</si>
  <si>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</si>
  <si>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</si>
  <si>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</si>
  <si>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</si>
  <si>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</si>
  <si>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</si>
  <si>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</si>
  <si>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</si>
  <si>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</si>
  <si>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</si>
  <si>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</si>
  <si>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</si>
  <si>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</si>
  <si>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</si>
  <si>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</si>
  <si>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</si>
  <si>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</si>
  <si>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</si>
  <si>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</si>
  <si>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</si>
  <si>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</si>
  <si>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</si>
  <si>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</si>
  <si>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</si>
  <si>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</si>
  <si>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</si>
  <si>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</si>
  <si>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</si>
  <si>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</si>
  <si>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</si>
  <si>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</si>
  <si>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</si>
  <si>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</si>
  <si>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</si>
  <si>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</si>
  <si>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</si>
  <si>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</si>
  <si>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</si>
  <si>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</si>
  <si>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</si>
  <si>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</si>
  <si>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</si>
  <si>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</si>
  <si>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</si>
  <si>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</si>
  <si>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</si>
  <si>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</si>
  <si>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</si>
  <si>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</si>
  <si>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</si>
  <si>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</si>
  <si>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</si>
  <si>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</si>
  <si>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</si>
  <si>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</si>
  <si>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</si>
  <si>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</si>
  <si>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</si>
  <si>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</si>
  <si>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</si>
  <si>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</si>
  <si>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</si>
  <si>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</si>
  <si>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</si>
  <si>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</si>
  <si>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</si>
  <si>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</si>
  <si>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</si>
  <si>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</si>
  <si>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</si>
  <si>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</si>
  <si>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</si>
  <si>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</si>
  <si>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</si>
  <si>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</si>
  <si>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</si>
  <si>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</si>
  <si>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</si>
  <si>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</si>
  <si>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</si>
  <si>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</si>
  <si>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</si>
  <si>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</si>
  <si>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</si>
  <si>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</si>
  <si>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</si>
  <si>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</si>
  <si>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</si>
  <si>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</si>
  <si>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</si>
  <si>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</si>
  <si>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</si>
  <si>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</si>
  <si>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</si>
  <si>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</si>
  <si>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</si>
  <si>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</si>
  <si>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</si>
  <si>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</si>
  <si>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</si>
  <si>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</si>
  <si>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</si>
  <si>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</si>
  <si>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</si>
  <si>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</si>
  <si>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</si>
  <si>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</si>
  <si>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</si>
  <si>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</si>
  <si>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</si>
  <si>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</si>
  <si>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</si>
  <si>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</si>
  <si>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</si>
  <si>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</si>
  <si>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</si>
  <si>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</si>
  <si>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</si>
  <si>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</si>
  <si>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</si>
  <si>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</si>
  <si>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</si>
  <si>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</si>
  <si>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</si>
  <si>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</si>
  <si>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</si>
  <si>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</si>
  <si>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</si>
  <si>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</si>
  <si>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</si>
  <si>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</si>
  <si>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</si>
  <si>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</si>
  <si>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</si>
  <si>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</si>
  <si>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</si>
  <si>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</si>
  <si>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</si>
  <si>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</si>
  <si>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</si>
  <si>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</si>
  <si>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</si>
  <si>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</si>
  <si>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</si>
  <si>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</si>
  <si>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</si>
  <si>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</si>
  <si>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</si>
  <si>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</si>
  <si>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</si>
  <si>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</si>
  <si>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</si>
  <si>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</si>
  <si>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</si>
  <si>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</si>
  <si>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</si>
  <si>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</si>
  <si>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</si>
  <si>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</si>
  <si>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</si>
  <si>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</si>
  <si>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</si>
  <si>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</si>
  <si>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</si>
  <si>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</si>
  <si>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</si>
  <si>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</si>
  <si>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</si>
  <si>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</si>
  <si>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</si>
  <si>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</si>
  <si>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</si>
  <si>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</si>
  <si>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</si>
  <si>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</si>
  <si>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</si>
  <si>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</si>
  <si>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</si>
  <si>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</si>
  <si>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</si>
  <si>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</si>
  <si>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</si>
  <si>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</si>
  <si>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</si>
  <si>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</si>
  <si>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</si>
  <si>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</si>
  <si>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</si>
  <si>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</si>
  <si>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</si>
  <si>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</si>
  <si>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</si>
  <si>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</si>
  <si>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</si>
  <si>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</si>
  <si>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</si>
  <si>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</si>
  <si>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</si>
  <si>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</si>
  <si>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</si>
  <si>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</si>
  <si>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</si>
  <si>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</si>
  <si>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</si>
  <si>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</si>
  <si>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</si>
  <si>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</si>
  <si>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</si>
  <si>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</si>
  <si>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</si>
  <si>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</si>
  <si>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</si>
  <si>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</si>
  <si>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</si>
  <si>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</si>
  <si>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</si>
  <si>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</si>
  <si>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</si>
  <si>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</si>
  <si>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</si>
  <si>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</si>
  <si>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</si>
  <si>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</si>
  <si>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</si>
  <si>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</si>
  <si>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</si>
  <si>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</si>
  <si>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</si>
  <si>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</si>
  <si>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</si>
  <si>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</si>
  <si>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</si>
  <si>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</si>
  <si>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</si>
  <si>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</si>
  <si>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</si>
  <si>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</si>
  <si>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</si>
  <si>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</si>
  <si>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</si>
  <si>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</si>
  <si>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</si>
  <si>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</si>
  <si>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</si>
  <si>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</si>
  <si>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</si>
  <si>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</si>
  <si>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</si>
  <si>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</si>
  <si>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</si>
  <si>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</si>
  <si>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</si>
  <si>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</si>
  <si>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</si>
  <si>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</si>
  <si>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</si>
  <si>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</si>
  <si>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</si>
  <si>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</si>
  <si>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</si>
  <si>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</si>
  <si>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</si>
  <si>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</si>
  <si>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</si>
  <si>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</si>
  <si>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</si>
  <si>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</si>
  <si>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</si>
  <si>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</si>
  <si>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</si>
  <si>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</si>
  <si>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</si>
  <si>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</si>
  <si>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</si>
  <si>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</si>
  <si>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</si>
  <si>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</si>
  <si>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</si>
  <si>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</si>
  <si>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</si>
  <si>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</si>
  <si>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</si>
  <si>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</si>
  <si>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</si>
  <si>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</si>
  <si>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</si>
  <si>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</si>
  <si>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</si>
  <si>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</si>
  <si>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</si>
  <si>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</si>
  <si>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</si>
  <si>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</si>
  <si>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Profit</t>
  </si>
  <si>
    <t>total sales</t>
  </si>
  <si>
    <t>total oder</t>
  </si>
  <si>
    <t>total customers</t>
  </si>
  <si>
    <t>average oder value</t>
  </si>
  <si>
    <t>total qauntity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</si>
</sst>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 mmmm\ dd\,\ yyyy"/>
    <numFmt numFmtId="165" formatCode="_ [$₹-4009]\ * #,##0.00_ ;_ [$₹-4009]\ * \-#,##0.00_ ;_ [$₹-4009]\ * &quot;-&quot;??_ ;_ @_ "/>
    <numFmt numFmtId="166" formatCode="_ [$₹-4009]\ * #,##0_ ;_ [$₹-4009]\ * \-#,##0_ ;_ [$₹-4009]\ * &quot;-&quot;??_ ;_ @_ "/>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cellXfs>
  <cellStyles count="1">
    <cellStyle name="Normal" xfId="0" builtinId="0"/>
  </cellStyles>
  <dxfs count="13">
    <dxf>
      <numFmt numFmtId="0" formatCode="General"/>
    </dxf>
    <dxf>
      <numFmt numFmtId="19" formatCode="m/d/yyyy"/>
    </dxf>
    <dxf>
      <numFmt numFmtId="164" formatCode="[$-F800]dddd\,\ mmmm\ dd\,\ yyyy"/>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
      <numFmt numFmtId="165" formatCode="_ [$₹-4009]\ * #,##0.00_ ;_ [$₹-4009]\ * \-#,##0.00_ ;_ [$₹-4009]\ * &quot;-&quot;??_ ;_ @_ "/>
    </dxf>
  </dxfs>
  <tableStyles count="0" defaultTableStyle="TableStyleMedium9" defaultPivotStyle="PivotStyleLight16"/>
  <colors>
    <mruColors>
      <color rgb="FFFBE5E9"/>
      <color rgb="FFFADA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 cetegory</c:name>
    <c:fmtId val="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baseline="0"/>
              <a:t> CETEGORICAL SHARE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shade val="65000"/>
            </a:schemeClr>
          </a:solidFill>
          <a:ln>
            <a:noFill/>
          </a:ln>
          <a:effectLst>
            <a:outerShdw blurRad="317500" algn="ctr" rotWithShape="0">
              <a:prstClr val="black">
                <a:alpha val="25000"/>
              </a:prstClr>
            </a:outerShdw>
          </a:effectLst>
        </c:spPr>
      </c:pivotFmt>
      <c:pivotFmt>
        <c:idx val="4"/>
        <c:spPr>
          <a:solidFill>
            <a:schemeClr val="accent2"/>
          </a:solidFill>
          <a:ln>
            <a:noFill/>
          </a:ln>
          <a:effectLst>
            <a:outerShdw blurRad="317500" algn="ctr" rotWithShape="0">
              <a:prstClr val="black">
                <a:alpha val="25000"/>
              </a:prstClr>
            </a:outerShdw>
          </a:effectLst>
        </c:spPr>
      </c:pivotFmt>
      <c:pivotFmt>
        <c:idx val="5"/>
        <c:spPr>
          <a:solidFill>
            <a:schemeClr val="accent2">
              <a:tint val="65000"/>
            </a:schemeClr>
          </a:solidFill>
          <a:ln>
            <a:noFill/>
          </a:ln>
          <a:effectLst>
            <a:outerShdw blurRad="317500" algn="ctr" rotWithShape="0">
              <a:prstClr val="black">
                <a:alpha val="25000"/>
              </a:prstClr>
            </a:outerShdw>
          </a:effectLst>
        </c:spPr>
      </c:pivotFmt>
    </c:pivotFmts>
    <c:plotArea>
      <c:layout/>
      <c:doughnutChart>
        <c:varyColors val="1"/>
        <c:ser>
          <c:idx val="0"/>
          <c:order val="0"/>
          <c:tx>
            <c:strRef>
              <c:f>Pivots!$C$3</c:f>
              <c:strCache>
                <c:ptCount val="1"/>
                <c:pt idx="0">
                  <c:v>Total</c:v>
                </c:pt>
              </c:strCache>
            </c:strRef>
          </c:tx>
          <c:dPt>
            <c:idx val="0"/>
            <c:bubble3D val="0"/>
            <c:spPr>
              <a:solidFill>
                <a:schemeClr val="accent2">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5A5-47A6-B74B-D72BBB258F0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5A5-47A6-B74B-D72BBB258F0A}"/>
              </c:ext>
            </c:extLst>
          </c:dPt>
          <c:dPt>
            <c:idx val="2"/>
            <c:bubble3D val="0"/>
            <c:spPr>
              <a:solidFill>
                <a:schemeClr val="accent2">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5A5-47A6-B74B-D72BBB258F0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Pivots!$B$4:$B$7</c:f>
              <c:strCache>
                <c:ptCount val="3"/>
                <c:pt idx="0">
                  <c:v>Accessories</c:v>
                </c:pt>
                <c:pt idx="1">
                  <c:v>Electronics</c:v>
                </c:pt>
                <c:pt idx="2">
                  <c:v>Fashion</c:v>
                </c:pt>
              </c:strCache>
            </c:strRef>
          </c:cat>
          <c:val>
            <c:numRef>
              <c:f>Pivots!$C$4:$C$7</c:f>
              <c:numCache>
                <c:formatCode>_ [$₹-4009]\ * #,##0.00_ ;_ [$₹-4009]\ * \-#,##0.00_ ;_ [$₹-4009]\ * "-"??_ ;_ @_ </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[ecommerce_dataset.xlsx]Pivots!monthly sales</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_ [$₹-4009]\ * #,##0.00_ ;_ [$₹-4009]\ * \-#,##0.00_ ;_ [$₹-4009]\ * "-"??_ ;_ @_ </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145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otDmnd">
      <a:fgClr>
        <a:srgbClr val="FF0000"/>
      </a:fgClr>
      <a:bgClr>
        <a:schemeClr val="accent6">
          <a:lumMod val="60000"/>
          <a:lumOff val="40000"/>
        </a:schemeClr>
      </a:bgClr>
    </a:pattFill>
    <a:ln w="9525" cap="flat" cmpd="sng" algn="ctr">
      <a:noFill/>
      <a:round/>
    </a:ln>
    <a:effectLst>
      <a:outerShdw blurRad="50800" dist="38100" dir="2700000" algn="tl" rotWithShape="0">
        <a:prstClr val="black">
          <a:alpha val="40000"/>
        </a:prstClr>
      </a:outerShdw>
    </a:effectLst>
    <a:scene3d>
      <a:camera prst="orthographicFront"/>
      <a:lightRig rig="freezing" dir="t"/>
    </a:scene3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[ecommerce_dataset.xlsx]Pivots!by_city</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2"/>
            </a:fgClr>
            <a:bgClr>
              <a:schemeClr val="accent2">
                <a:lumMod val="20000"/>
                <a:lumOff val="80000"/>
              </a:schemeClr>
            </a:bgClr>
          </a:pattFill>
          <a:ln>
            <a:noFill/>
          </a:ln>
          <a:effectLst>
            <a:innerShdw blurRad="114300">
              <a:schemeClr val="accent2"/>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_ [$₹-4009]\ * #,##0.00_ ;_ [$₹-4009]\ * \-#,##0.00_ ;_ [$₹-4009]\ * "-"??_ ;_ @_ </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showLegendKey val="0"/>
          <c:showVal val="0"/>
          <c:showCatName val="0"/>
          <c:showSerName val="0"/>
          <c:showPercent val="0"/>
          <c:showBubbleSize val="0"/>
        </c:dLbls>
        <c:gapWidth val="164"/>
        <c:overlap val="-22"/>
        <c:axId val="335778015"/>
        <c:axId val="335798175"/>
      </c:barChart>
      <c:catAx>
        <c:axId val="3357780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cap="rnd">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rgbClr val="FBE5E9"/>
      </a:fgClr>
      <a:bgClr>
        <a:schemeClr val="bg1"/>
      </a:bgClr>
    </a:patt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PRODUCT Share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ofPieChart>
        <c:ofPieType val="pie"/>
        <c:varyColors val="1"/>
        <c:ser>
          <c:idx val="0"/>
          <c:order val="0"/>
          <c:tx>
            <c:strRef>
              <c:f>Pivots!$C$23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58FC-4A12-9D06-635573A1CB9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58FC-4A12-9D06-635573A1CB93}"/>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58FC-4A12-9D06-635573A1CB93}"/>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75F4-4F4F-8A86-0FF1A08E23E3}"/>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9-75F4-4F4F-8A86-0FF1A08E23E3}"/>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B-75F4-4F4F-8A86-0FF1A08E23E3}"/>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0D-75F4-4F4F-8A86-0FF1A08E23E3}"/>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0F-75F4-4F4F-8A86-0FF1A08E23E3}"/>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extLst>
              <c:ext xmlns:c16="http://schemas.microsoft.com/office/drawing/2014/chart" uri="{C3380CC4-5D6E-409C-BE32-E72D297353CC}">
                <c16:uniqueId val="{00000011-4531-4B8B-B702-CB92D574AE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_ [$₹-4009]\ * #,##0.00_ ;_ [$₹-4009]\ * \-#,##0.00_ ;_ [$₹-4009]\ * "-"??_ ;_ @_ </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showLegendKey val="0"/>
          <c:showVal val="1"/>
          <c:showCatName val="0"/>
          <c:showSerName val="0"/>
          <c:showPercent val="0"/>
          <c:showBubbleSize val="0"/>
          <c:showLeaderLines val="1"/>
        </c:dLbls>
        <c:gapWidth val="100"/>
        <c:secondPieSize val="75"/>
        <c:serLines>
          <c:spPr>
            <a:ln w="9525">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10">
      <a:fgClr>
        <a:srgbClr val="FBE5E9"/>
      </a:fgClr>
      <a:bgClr>
        <a:schemeClr val="bg1"/>
      </a:bgClr>
    </a:patt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19051</xdr:colOff>
      <xdr:row>0</xdr:row>
      <xdr:rowOff>47624</xdr:rowOff>
    </xdr:from>
    <xdr:to>
      <xdr:col>19</xdr:col>
      <xdr:colOff>600075</xdr:colOff>
      <xdr:row>33</xdr:row>
      <xdr:rowOff>136072</xdr:rowOff>
    </xdr:to>
    <xdr:sp macro="" textlink="">
      <xdr:nvSpPr>
        <xdr:cNvPr id="2" name="Rectangle 1">
          <a:extLst>
            <a:ext uri="{FF2B5EF4-FFF2-40B4-BE49-F238E27FC236}">
              <a16:creationId xmlns:a16="http://schemas.microsoft.com/office/drawing/2014/main" id="{A553A88E-61BA-8040-7621-875B4D494A78}"/>
            </a:ext>
          </a:extLst>
        </xdr:cNvPr>
        <xdr:cNvSpPr/>
      </xdr:nvSpPr>
      <xdr:spPr>
        <a:xfrm>
          <a:off x="19051" y="47624"/>
          <a:ext cx="12215131" cy="6512963"/>
        </a:xfrm>
        <a:custGeom>
          <a:avLst/>
          <a:gdLst>
            <a:gd name="csX0" fmla="*/ 0 w 12215131"/>
            <a:gd name="csY0" fmla="*/ 0 h 6512963"/>
            <a:gd name="csX1" fmla="*/ 459522 w 12215131"/>
            <a:gd name="csY1" fmla="*/ 0 h 6512963"/>
            <a:gd name="csX2" fmla="*/ 796892 w 12215131"/>
            <a:gd name="csY2" fmla="*/ 0 h 6512963"/>
            <a:gd name="csX3" fmla="*/ 1256413 w 12215131"/>
            <a:gd name="csY3" fmla="*/ 0 h 6512963"/>
            <a:gd name="csX4" fmla="*/ 1715935 w 12215131"/>
            <a:gd name="csY4" fmla="*/ 0 h 6512963"/>
            <a:gd name="csX5" fmla="*/ 2297608 w 12215131"/>
            <a:gd name="csY5" fmla="*/ 0 h 6512963"/>
            <a:gd name="csX6" fmla="*/ 3123583 w 12215131"/>
            <a:gd name="csY6" fmla="*/ 0 h 6512963"/>
            <a:gd name="csX7" fmla="*/ 3338802 w 12215131"/>
            <a:gd name="csY7" fmla="*/ 0 h 6512963"/>
            <a:gd name="csX8" fmla="*/ 4164778 w 12215131"/>
            <a:gd name="csY8" fmla="*/ 0 h 6512963"/>
            <a:gd name="csX9" fmla="*/ 4502148 w 12215131"/>
            <a:gd name="csY9" fmla="*/ 0 h 6512963"/>
            <a:gd name="csX10" fmla="*/ 5205972 w 12215131"/>
            <a:gd name="csY10" fmla="*/ 0 h 6512963"/>
            <a:gd name="csX11" fmla="*/ 5787645 w 12215131"/>
            <a:gd name="csY11" fmla="*/ 0 h 6512963"/>
            <a:gd name="csX12" fmla="*/ 6613621 w 12215131"/>
            <a:gd name="csY12" fmla="*/ 0 h 6512963"/>
            <a:gd name="csX13" fmla="*/ 7317445 w 12215131"/>
            <a:gd name="csY13" fmla="*/ 0 h 6512963"/>
            <a:gd name="csX14" fmla="*/ 7532664 w 12215131"/>
            <a:gd name="csY14" fmla="*/ 0 h 6512963"/>
            <a:gd name="csX15" fmla="*/ 7870034 w 12215131"/>
            <a:gd name="csY15" fmla="*/ 0 h 6512963"/>
            <a:gd name="csX16" fmla="*/ 8451707 w 12215131"/>
            <a:gd name="csY16" fmla="*/ 0 h 6512963"/>
            <a:gd name="csX17" fmla="*/ 8789078 w 12215131"/>
            <a:gd name="csY17" fmla="*/ 0 h 6512963"/>
            <a:gd name="csX18" fmla="*/ 9492902 w 12215131"/>
            <a:gd name="csY18" fmla="*/ 0 h 6512963"/>
            <a:gd name="csX19" fmla="*/ 10196726 w 12215131"/>
            <a:gd name="csY19" fmla="*/ 0 h 6512963"/>
            <a:gd name="csX20" fmla="*/ 10411945 w 12215131"/>
            <a:gd name="csY20" fmla="*/ 0 h 6512963"/>
            <a:gd name="csX21" fmla="*/ 11115769 w 12215131"/>
            <a:gd name="csY21" fmla="*/ 0 h 6512963"/>
            <a:gd name="csX22" fmla="*/ 11453139 w 12215131"/>
            <a:gd name="csY22" fmla="*/ 0 h 6512963"/>
            <a:gd name="csX23" fmla="*/ 12215131 w 12215131"/>
            <a:gd name="csY23" fmla="*/ 0 h 6512963"/>
            <a:gd name="csX24" fmla="*/ 12215131 w 12215131"/>
            <a:gd name="csY24" fmla="*/ 592088 h 6512963"/>
            <a:gd name="csX25" fmla="*/ 12215131 w 12215131"/>
            <a:gd name="csY25" fmla="*/ 1053916 h 6512963"/>
            <a:gd name="csX26" fmla="*/ 12215131 w 12215131"/>
            <a:gd name="csY26" fmla="*/ 1580874 h 6512963"/>
            <a:gd name="csX27" fmla="*/ 12215131 w 12215131"/>
            <a:gd name="csY27" fmla="*/ 2238091 h 6512963"/>
            <a:gd name="csX28" fmla="*/ 12215131 w 12215131"/>
            <a:gd name="csY28" fmla="*/ 2634790 h 6512963"/>
            <a:gd name="csX29" fmla="*/ 12215131 w 12215131"/>
            <a:gd name="csY29" fmla="*/ 3161747 h 6512963"/>
            <a:gd name="csX30" fmla="*/ 12215131 w 12215131"/>
            <a:gd name="csY30" fmla="*/ 3688705 h 6512963"/>
            <a:gd name="csX31" fmla="*/ 12215131 w 12215131"/>
            <a:gd name="csY31" fmla="*/ 4150534 h 6512963"/>
            <a:gd name="csX32" fmla="*/ 12215131 w 12215131"/>
            <a:gd name="csY32" fmla="*/ 4872880 h 6512963"/>
            <a:gd name="csX33" fmla="*/ 12215131 w 12215131"/>
            <a:gd name="csY33" fmla="*/ 5595227 h 6512963"/>
            <a:gd name="csX34" fmla="*/ 12215131 w 12215131"/>
            <a:gd name="csY34" fmla="*/ 6512963 h 6512963"/>
            <a:gd name="csX35" fmla="*/ 11755609 w 12215131"/>
            <a:gd name="csY35" fmla="*/ 6512963 h 6512963"/>
            <a:gd name="csX36" fmla="*/ 11173937 w 12215131"/>
            <a:gd name="csY36" fmla="*/ 6512963 h 6512963"/>
            <a:gd name="csX37" fmla="*/ 10836566 w 12215131"/>
            <a:gd name="csY37" fmla="*/ 6512963 h 6512963"/>
            <a:gd name="csX38" fmla="*/ 10132742 w 12215131"/>
            <a:gd name="csY38" fmla="*/ 6512963 h 6512963"/>
            <a:gd name="csX39" fmla="*/ 9428918 w 12215131"/>
            <a:gd name="csY39" fmla="*/ 6512963 h 6512963"/>
            <a:gd name="csX40" fmla="*/ 8602942 w 12215131"/>
            <a:gd name="csY40" fmla="*/ 6512963 h 6512963"/>
            <a:gd name="csX41" fmla="*/ 8265572 w 12215131"/>
            <a:gd name="csY41" fmla="*/ 6512963 h 6512963"/>
            <a:gd name="csX42" fmla="*/ 7561748 w 12215131"/>
            <a:gd name="csY42" fmla="*/ 6512963 h 6512963"/>
            <a:gd name="csX43" fmla="*/ 6857924 w 12215131"/>
            <a:gd name="csY43" fmla="*/ 6512963 h 6512963"/>
            <a:gd name="csX44" fmla="*/ 6276251 w 12215131"/>
            <a:gd name="csY44" fmla="*/ 6512963 h 6512963"/>
            <a:gd name="csX45" fmla="*/ 5450275 w 12215131"/>
            <a:gd name="csY45" fmla="*/ 6512963 h 6512963"/>
            <a:gd name="csX46" fmla="*/ 4624300 w 12215131"/>
            <a:gd name="csY46" fmla="*/ 6512963 h 6512963"/>
            <a:gd name="csX47" fmla="*/ 3920475 w 12215131"/>
            <a:gd name="csY47" fmla="*/ 6512963 h 6512963"/>
            <a:gd name="csX48" fmla="*/ 3460954 w 12215131"/>
            <a:gd name="csY48" fmla="*/ 6512963 h 6512963"/>
            <a:gd name="csX49" fmla="*/ 3001432 w 12215131"/>
            <a:gd name="csY49" fmla="*/ 6512963 h 6512963"/>
            <a:gd name="csX50" fmla="*/ 2175457 w 12215131"/>
            <a:gd name="csY50" fmla="*/ 6512963 h 6512963"/>
            <a:gd name="csX51" fmla="*/ 1349481 w 12215131"/>
            <a:gd name="csY51" fmla="*/ 6512963 h 6512963"/>
            <a:gd name="csX52" fmla="*/ 767808 w 12215131"/>
            <a:gd name="csY52" fmla="*/ 6512963 h 6512963"/>
            <a:gd name="csX53" fmla="*/ 0 w 12215131"/>
            <a:gd name="csY53" fmla="*/ 6512963 h 6512963"/>
            <a:gd name="csX54" fmla="*/ 0 w 12215131"/>
            <a:gd name="csY54" fmla="*/ 5855746 h 6512963"/>
            <a:gd name="csX55" fmla="*/ 0 w 12215131"/>
            <a:gd name="csY55" fmla="*/ 5328788 h 6512963"/>
            <a:gd name="csX56" fmla="*/ 0 w 12215131"/>
            <a:gd name="csY56" fmla="*/ 4606441 h 6512963"/>
            <a:gd name="csX57" fmla="*/ 0 w 12215131"/>
            <a:gd name="csY57" fmla="*/ 4079483 h 6512963"/>
            <a:gd name="csX58" fmla="*/ 0 w 12215131"/>
            <a:gd name="csY58" fmla="*/ 3682785 h 6512963"/>
            <a:gd name="csX59" fmla="*/ 0 w 12215131"/>
            <a:gd name="csY59" fmla="*/ 3220956 h 6512963"/>
            <a:gd name="csX60" fmla="*/ 0 w 12215131"/>
            <a:gd name="csY60" fmla="*/ 2628869 h 6512963"/>
            <a:gd name="csX61" fmla="*/ 0 w 12215131"/>
            <a:gd name="csY61" fmla="*/ 1971652 h 6512963"/>
            <a:gd name="csX62" fmla="*/ 0 w 12215131"/>
            <a:gd name="csY62" fmla="*/ 1314434 h 6512963"/>
            <a:gd name="csX63" fmla="*/ 0 w 12215131"/>
            <a:gd name="csY63" fmla="*/ 722347 h 6512963"/>
            <a:gd name="csX64" fmla="*/ 0 w 12215131"/>
            <a:gd name="csY64" fmla="*/ 0 h 651296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 ang="0">
              <a:pos x="csX54" y="csY54"/>
            </a:cxn>
            <a:cxn ang="0">
              <a:pos x="csX55" y="csY55"/>
            </a:cxn>
            <a:cxn ang="0">
              <a:pos x="csX56" y="csY56"/>
            </a:cxn>
            <a:cxn ang="0">
              <a:pos x="csX57" y="csY57"/>
            </a:cxn>
            <a:cxn ang="0">
              <a:pos x="csX58" y="csY58"/>
            </a:cxn>
            <a:cxn ang="0">
              <a:pos x="csX59" y="csY59"/>
            </a:cxn>
            <a:cxn ang="0">
              <a:pos x="csX60" y="csY60"/>
            </a:cxn>
            <a:cxn ang="0">
              <a:pos x="csX61" y="csY61"/>
            </a:cxn>
            <a:cxn ang="0">
              <a:pos x="csX62" y="csY62"/>
            </a:cxn>
            <a:cxn ang="0">
              <a:pos x="csX63" y="csY63"/>
            </a:cxn>
            <a:cxn ang="0">
              <a:pos x="csX64" y="csY64"/>
            </a:cxn>
          </a:cxnLst>
          <a:rect l="l" t="t" r="r" b="b"/>
          <a:pathLst>
            <a:path w="12215131" h="6512963" fill="none" extrusionOk="0">
              <a:moveTo>
                <a:pt x="0" y="0"/>
              </a:moveTo>
              <a:cubicBezTo>
                <a:pt x="160982" y="-52316"/>
                <a:pt x="360012" y="11304"/>
                <a:pt x="459522" y="0"/>
              </a:cubicBezTo>
              <a:cubicBezTo>
                <a:pt x="559032" y="-11304"/>
                <a:pt x="668369" y="33162"/>
                <a:pt x="796892" y="0"/>
              </a:cubicBezTo>
              <a:cubicBezTo>
                <a:pt x="925415" y="-33162"/>
                <a:pt x="1117271" y="49342"/>
                <a:pt x="1256413" y="0"/>
              </a:cubicBezTo>
              <a:cubicBezTo>
                <a:pt x="1395555" y="-49342"/>
                <a:pt x="1490986" y="42850"/>
                <a:pt x="1715935" y="0"/>
              </a:cubicBezTo>
              <a:cubicBezTo>
                <a:pt x="1940884" y="-42850"/>
                <a:pt x="2080976" y="23529"/>
                <a:pt x="2297608" y="0"/>
              </a:cubicBezTo>
              <a:cubicBezTo>
                <a:pt x="2514240" y="-23529"/>
                <a:pt x="2759651" y="61282"/>
                <a:pt x="3123583" y="0"/>
              </a:cubicBezTo>
              <a:cubicBezTo>
                <a:pt x="3487516" y="-61282"/>
                <a:pt x="3248711" y="15334"/>
                <a:pt x="3338802" y="0"/>
              </a:cubicBezTo>
              <a:cubicBezTo>
                <a:pt x="3428893" y="-15334"/>
                <a:pt x="3795121" y="59940"/>
                <a:pt x="4164778" y="0"/>
              </a:cubicBezTo>
              <a:cubicBezTo>
                <a:pt x="4534435" y="-59940"/>
                <a:pt x="4368924" y="12520"/>
                <a:pt x="4502148" y="0"/>
              </a:cubicBezTo>
              <a:cubicBezTo>
                <a:pt x="4635372" y="-12520"/>
                <a:pt x="4952893" y="60275"/>
                <a:pt x="5205972" y="0"/>
              </a:cubicBezTo>
              <a:cubicBezTo>
                <a:pt x="5459051" y="-60275"/>
                <a:pt x="5632739" y="18533"/>
                <a:pt x="5787645" y="0"/>
              </a:cubicBezTo>
              <a:cubicBezTo>
                <a:pt x="5942551" y="-18533"/>
                <a:pt x="6387955" y="1242"/>
                <a:pt x="6613621" y="0"/>
              </a:cubicBezTo>
              <a:cubicBezTo>
                <a:pt x="6839287" y="-1242"/>
                <a:pt x="7162640" y="61687"/>
                <a:pt x="7317445" y="0"/>
              </a:cubicBezTo>
              <a:cubicBezTo>
                <a:pt x="7472250" y="-61687"/>
                <a:pt x="7488438" y="18818"/>
                <a:pt x="7532664" y="0"/>
              </a:cubicBezTo>
              <a:cubicBezTo>
                <a:pt x="7576890" y="-18818"/>
                <a:pt x="7723612" y="14886"/>
                <a:pt x="7870034" y="0"/>
              </a:cubicBezTo>
              <a:cubicBezTo>
                <a:pt x="8016456" y="-14886"/>
                <a:pt x="8318160" y="44187"/>
                <a:pt x="8451707" y="0"/>
              </a:cubicBezTo>
              <a:cubicBezTo>
                <a:pt x="8585254" y="-44187"/>
                <a:pt x="8655169" y="38077"/>
                <a:pt x="8789078" y="0"/>
              </a:cubicBezTo>
              <a:cubicBezTo>
                <a:pt x="8922987" y="-38077"/>
                <a:pt x="9292751" y="41177"/>
                <a:pt x="9492902" y="0"/>
              </a:cubicBezTo>
              <a:cubicBezTo>
                <a:pt x="9693053" y="-41177"/>
                <a:pt x="9855510" y="84096"/>
                <a:pt x="10196726" y="0"/>
              </a:cubicBezTo>
              <a:cubicBezTo>
                <a:pt x="10537942" y="-84096"/>
                <a:pt x="10349780" y="10480"/>
                <a:pt x="10411945" y="0"/>
              </a:cubicBezTo>
              <a:cubicBezTo>
                <a:pt x="10474110" y="-10480"/>
                <a:pt x="10815501" y="39316"/>
                <a:pt x="11115769" y="0"/>
              </a:cubicBezTo>
              <a:cubicBezTo>
                <a:pt x="11416037" y="-39316"/>
                <a:pt x="11363723" y="24150"/>
                <a:pt x="11453139" y="0"/>
              </a:cubicBezTo>
              <a:cubicBezTo>
                <a:pt x="11542555" y="-24150"/>
                <a:pt x="12055011" y="80263"/>
                <a:pt x="12215131" y="0"/>
              </a:cubicBezTo>
              <a:cubicBezTo>
                <a:pt x="12238227" y="163119"/>
                <a:pt x="12171369" y="461863"/>
                <a:pt x="12215131" y="592088"/>
              </a:cubicBezTo>
              <a:cubicBezTo>
                <a:pt x="12258893" y="722313"/>
                <a:pt x="12172524" y="857737"/>
                <a:pt x="12215131" y="1053916"/>
              </a:cubicBezTo>
              <a:cubicBezTo>
                <a:pt x="12257738" y="1250095"/>
                <a:pt x="12178761" y="1432438"/>
                <a:pt x="12215131" y="1580874"/>
              </a:cubicBezTo>
              <a:cubicBezTo>
                <a:pt x="12251501" y="1729310"/>
                <a:pt x="12166905" y="2030253"/>
                <a:pt x="12215131" y="2238091"/>
              </a:cubicBezTo>
              <a:cubicBezTo>
                <a:pt x="12263357" y="2445929"/>
                <a:pt x="12200721" y="2538680"/>
                <a:pt x="12215131" y="2634790"/>
              </a:cubicBezTo>
              <a:cubicBezTo>
                <a:pt x="12229541" y="2730900"/>
                <a:pt x="12203806" y="2916131"/>
                <a:pt x="12215131" y="3161747"/>
              </a:cubicBezTo>
              <a:cubicBezTo>
                <a:pt x="12226456" y="3407363"/>
                <a:pt x="12168836" y="3497237"/>
                <a:pt x="12215131" y="3688705"/>
              </a:cubicBezTo>
              <a:cubicBezTo>
                <a:pt x="12261426" y="3880173"/>
                <a:pt x="12206997" y="4008476"/>
                <a:pt x="12215131" y="4150534"/>
              </a:cubicBezTo>
              <a:cubicBezTo>
                <a:pt x="12223265" y="4292592"/>
                <a:pt x="12204348" y="4588728"/>
                <a:pt x="12215131" y="4872880"/>
              </a:cubicBezTo>
              <a:cubicBezTo>
                <a:pt x="12225914" y="5157032"/>
                <a:pt x="12191415" y="5449768"/>
                <a:pt x="12215131" y="5595227"/>
              </a:cubicBezTo>
              <a:cubicBezTo>
                <a:pt x="12238847" y="5740686"/>
                <a:pt x="12164226" y="6293349"/>
                <a:pt x="12215131" y="6512963"/>
              </a:cubicBezTo>
              <a:cubicBezTo>
                <a:pt x="12004265" y="6513113"/>
                <a:pt x="11870921" y="6464037"/>
                <a:pt x="11755609" y="6512963"/>
              </a:cubicBezTo>
              <a:cubicBezTo>
                <a:pt x="11640297" y="6561889"/>
                <a:pt x="11448664" y="6450726"/>
                <a:pt x="11173937" y="6512963"/>
              </a:cubicBezTo>
              <a:cubicBezTo>
                <a:pt x="10899210" y="6575200"/>
                <a:pt x="10958171" y="6506625"/>
                <a:pt x="10836566" y="6512963"/>
              </a:cubicBezTo>
              <a:cubicBezTo>
                <a:pt x="10714961" y="6519301"/>
                <a:pt x="10329423" y="6487662"/>
                <a:pt x="10132742" y="6512963"/>
              </a:cubicBezTo>
              <a:cubicBezTo>
                <a:pt x="9936061" y="6538264"/>
                <a:pt x="9620997" y="6500905"/>
                <a:pt x="9428918" y="6512963"/>
              </a:cubicBezTo>
              <a:cubicBezTo>
                <a:pt x="9236839" y="6525021"/>
                <a:pt x="9010500" y="6486906"/>
                <a:pt x="8602942" y="6512963"/>
              </a:cubicBezTo>
              <a:cubicBezTo>
                <a:pt x="8195384" y="6539020"/>
                <a:pt x="8346636" y="6498864"/>
                <a:pt x="8265572" y="6512963"/>
              </a:cubicBezTo>
              <a:cubicBezTo>
                <a:pt x="8184508" y="6527062"/>
                <a:pt x="7828575" y="6481481"/>
                <a:pt x="7561748" y="6512963"/>
              </a:cubicBezTo>
              <a:cubicBezTo>
                <a:pt x="7294921" y="6544445"/>
                <a:pt x="7028495" y="6494046"/>
                <a:pt x="6857924" y="6512963"/>
              </a:cubicBezTo>
              <a:cubicBezTo>
                <a:pt x="6687353" y="6531880"/>
                <a:pt x="6431699" y="6448017"/>
                <a:pt x="6276251" y="6512963"/>
              </a:cubicBezTo>
              <a:cubicBezTo>
                <a:pt x="6120803" y="6577909"/>
                <a:pt x="5788942" y="6432821"/>
                <a:pt x="5450275" y="6512963"/>
              </a:cubicBezTo>
              <a:cubicBezTo>
                <a:pt x="5111608" y="6593105"/>
                <a:pt x="4813041" y="6417852"/>
                <a:pt x="4624300" y="6512963"/>
              </a:cubicBezTo>
              <a:cubicBezTo>
                <a:pt x="4435560" y="6608074"/>
                <a:pt x="4267645" y="6449824"/>
                <a:pt x="3920475" y="6512963"/>
              </a:cubicBezTo>
              <a:cubicBezTo>
                <a:pt x="3573306" y="6576102"/>
                <a:pt x="3573462" y="6508086"/>
                <a:pt x="3460954" y="6512963"/>
              </a:cubicBezTo>
              <a:cubicBezTo>
                <a:pt x="3348446" y="6517840"/>
                <a:pt x="3173874" y="6471695"/>
                <a:pt x="3001432" y="6512963"/>
              </a:cubicBezTo>
              <a:cubicBezTo>
                <a:pt x="2828990" y="6554231"/>
                <a:pt x="2387278" y="6423747"/>
                <a:pt x="2175457" y="6512963"/>
              </a:cubicBezTo>
              <a:cubicBezTo>
                <a:pt x="1963637" y="6602179"/>
                <a:pt x="1645219" y="6463105"/>
                <a:pt x="1349481" y="6512963"/>
              </a:cubicBezTo>
              <a:cubicBezTo>
                <a:pt x="1053743" y="6562821"/>
                <a:pt x="956725" y="6475703"/>
                <a:pt x="767808" y="6512963"/>
              </a:cubicBezTo>
              <a:cubicBezTo>
                <a:pt x="578891" y="6550223"/>
                <a:pt x="237487" y="6426278"/>
                <a:pt x="0" y="6512963"/>
              </a:cubicBezTo>
              <a:cubicBezTo>
                <a:pt x="-63229" y="6233917"/>
                <a:pt x="19309" y="6061943"/>
                <a:pt x="0" y="5855746"/>
              </a:cubicBezTo>
              <a:cubicBezTo>
                <a:pt x="-19309" y="5649549"/>
                <a:pt x="18633" y="5470852"/>
                <a:pt x="0" y="5328788"/>
              </a:cubicBezTo>
              <a:cubicBezTo>
                <a:pt x="-18633" y="5186724"/>
                <a:pt x="85385" y="4821569"/>
                <a:pt x="0" y="4606441"/>
              </a:cubicBezTo>
              <a:cubicBezTo>
                <a:pt x="-85385" y="4391313"/>
                <a:pt x="61801" y="4257736"/>
                <a:pt x="0" y="4079483"/>
              </a:cubicBezTo>
              <a:cubicBezTo>
                <a:pt x="-61801" y="3901230"/>
                <a:pt x="6158" y="3766070"/>
                <a:pt x="0" y="3682785"/>
              </a:cubicBezTo>
              <a:cubicBezTo>
                <a:pt x="-6158" y="3599500"/>
                <a:pt x="38688" y="3321001"/>
                <a:pt x="0" y="3220956"/>
              </a:cubicBezTo>
              <a:cubicBezTo>
                <a:pt x="-38688" y="3120911"/>
                <a:pt x="63501" y="2799525"/>
                <a:pt x="0" y="2628869"/>
              </a:cubicBezTo>
              <a:cubicBezTo>
                <a:pt x="-63501" y="2458213"/>
                <a:pt x="51876" y="2281135"/>
                <a:pt x="0" y="1971652"/>
              </a:cubicBezTo>
              <a:cubicBezTo>
                <a:pt x="-51876" y="1662169"/>
                <a:pt x="29215" y="1466984"/>
                <a:pt x="0" y="1314434"/>
              </a:cubicBezTo>
              <a:cubicBezTo>
                <a:pt x="-29215" y="1161884"/>
                <a:pt x="48423" y="946312"/>
                <a:pt x="0" y="722347"/>
              </a:cubicBezTo>
              <a:cubicBezTo>
                <a:pt x="-48423" y="498382"/>
                <a:pt x="34568" y="296324"/>
                <a:pt x="0" y="0"/>
              </a:cubicBezTo>
              <a:close/>
            </a:path>
            <a:path w="12215131" h="6512963" stroke="0" extrusionOk="0">
              <a:moveTo>
                <a:pt x="0" y="0"/>
              </a:moveTo>
              <a:cubicBezTo>
                <a:pt x="186987" y="-43043"/>
                <a:pt x="418792" y="76070"/>
                <a:pt x="703824" y="0"/>
              </a:cubicBezTo>
              <a:cubicBezTo>
                <a:pt x="988856" y="-76070"/>
                <a:pt x="896627" y="27008"/>
                <a:pt x="1041194" y="0"/>
              </a:cubicBezTo>
              <a:cubicBezTo>
                <a:pt x="1185761" y="-27008"/>
                <a:pt x="1301239" y="9884"/>
                <a:pt x="1378565" y="0"/>
              </a:cubicBezTo>
              <a:cubicBezTo>
                <a:pt x="1455891" y="-9884"/>
                <a:pt x="1632612" y="21924"/>
                <a:pt x="1838086" y="0"/>
              </a:cubicBezTo>
              <a:cubicBezTo>
                <a:pt x="2043560" y="-21924"/>
                <a:pt x="2093582" y="18256"/>
                <a:pt x="2175457" y="0"/>
              </a:cubicBezTo>
              <a:cubicBezTo>
                <a:pt x="2257332" y="-18256"/>
                <a:pt x="2393086" y="5378"/>
                <a:pt x="2512827" y="0"/>
              </a:cubicBezTo>
              <a:cubicBezTo>
                <a:pt x="2632568" y="-5378"/>
                <a:pt x="3064480" y="30411"/>
                <a:pt x="3216651" y="0"/>
              </a:cubicBezTo>
              <a:cubicBezTo>
                <a:pt x="3368822" y="-30411"/>
                <a:pt x="3590945" y="23765"/>
                <a:pt x="3798324" y="0"/>
              </a:cubicBezTo>
              <a:cubicBezTo>
                <a:pt x="4005703" y="-23765"/>
                <a:pt x="4404501" y="27735"/>
                <a:pt x="4624300" y="0"/>
              </a:cubicBezTo>
              <a:cubicBezTo>
                <a:pt x="4844099" y="-27735"/>
                <a:pt x="4765995" y="3001"/>
                <a:pt x="4839519" y="0"/>
              </a:cubicBezTo>
              <a:cubicBezTo>
                <a:pt x="4913043" y="-3001"/>
                <a:pt x="5192437" y="48789"/>
                <a:pt x="5543343" y="0"/>
              </a:cubicBezTo>
              <a:cubicBezTo>
                <a:pt x="5894249" y="-48789"/>
                <a:pt x="5657719" y="20513"/>
                <a:pt x="5758562" y="0"/>
              </a:cubicBezTo>
              <a:cubicBezTo>
                <a:pt x="5859405" y="-20513"/>
                <a:pt x="6006567" y="3811"/>
                <a:pt x="6095932" y="0"/>
              </a:cubicBezTo>
              <a:cubicBezTo>
                <a:pt x="6185297" y="-3811"/>
                <a:pt x="6724265" y="96986"/>
                <a:pt x="6921908" y="0"/>
              </a:cubicBezTo>
              <a:cubicBezTo>
                <a:pt x="7119551" y="-96986"/>
                <a:pt x="7177913" y="25758"/>
                <a:pt x="7259278" y="0"/>
              </a:cubicBezTo>
              <a:cubicBezTo>
                <a:pt x="7340643" y="-25758"/>
                <a:pt x="7422403" y="14771"/>
                <a:pt x="7474497" y="0"/>
              </a:cubicBezTo>
              <a:cubicBezTo>
                <a:pt x="7526591" y="-14771"/>
                <a:pt x="7620524" y="5689"/>
                <a:pt x="7689716" y="0"/>
              </a:cubicBezTo>
              <a:cubicBezTo>
                <a:pt x="7758908" y="-5689"/>
                <a:pt x="7932396" y="33611"/>
                <a:pt x="8149237" y="0"/>
              </a:cubicBezTo>
              <a:cubicBezTo>
                <a:pt x="8366078" y="-33611"/>
                <a:pt x="8623589" y="98597"/>
                <a:pt x="8975213" y="0"/>
              </a:cubicBezTo>
              <a:cubicBezTo>
                <a:pt x="9326837" y="-98597"/>
                <a:pt x="9404644" y="53424"/>
                <a:pt x="9556886" y="0"/>
              </a:cubicBezTo>
              <a:cubicBezTo>
                <a:pt x="9709128" y="-53424"/>
                <a:pt x="9746492" y="24698"/>
                <a:pt x="9894256" y="0"/>
              </a:cubicBezTo>
              <a:cubicBezTo>
                <a:pt x="10042020" y="-24698"/>
                <a:pt x="10272148" y="59734"/>
                <a:pt x="10475929" y="0"/>
              </a:cubicBezTo>
              <a:cubicBezTo>
                <a:pt x="10679710" y="-59734"/>
                <a:pt x="10961774" y="33673"/>
                <a:pt x="11301905" y="0"/>
              </a:cubicBezTo>
              <a:cubicBezTo>
                <a:pt x="11642036" y="-33673"/>
                <a:pt x="11462844" y="21803"/>
                <a:pt x="11517124" y="0"/>
              </a:cubicBezTo>
              <a:cubicBezTo>
                <a:pt x="11571404" y="-21803"/>
                <a:pt x="11941034" y="35877"/>
                <a:pt x="12215131" y="0"/>
              </a:cubicBezTo>
              <a:cubicBezTo>
                <a:pt x="12276557" y="242823"/>
                <a:pt x="12200072" y="353847"/>
                <a:pt x="12215131" y="526958"/>
              </a:cubicBezTo>
              <a:cubicBezTo>
                <a:pt x="12230190" y="700069"/>
                <a:pt x="12193326" y="871829"/>
                <a:pt x="12215131" y="988786"/>
              </a:cubicBezTo>
              <a:cubicBezTo>
                <a:pt x="12236936" y="1105743"/>
                <a:pt x="12213851" y="1267825"/>
                <a:pt x="12215131" y="1515744"/>
              </a:cubicBezTo>
              <a:cubicBezTo>
                <a:pt x="12216411" y="1763663"/>
                <a:pt x="12138895" y="1964079"/>
                <a:pt x="12215131" y="2238091"/>
              </a:cubicBezTo>
              <a:cubicBezTo>
                <a:pt x="12291367" y="2512103"/>
                <a:pt x="12197446" y="2507480"/>
                <a:pt x="12215131" y="2699919"/>
              </a:cubicBezTo>
              <a:cubicBezTo>
                <a:pt x="12232816" y="2892358"/>
                <a:pt x="12208381" y="3165933"/>
                <a:pt x="12215131" y="3422266"/>
              </a:cubicBezTo>
              <a:cubicBezTo>
                <a:pt x="12221881" y="3678599"/>
                <a:pt x="12210441" y="3922341"/>
                <a:pt x="12215131" y="4144613"/>
              </a:cubicBezTo>
              <a:cubicBezTo>
                <a:pt x="12219821" y="4366885"/>
                <a:pt x="12213420" y="4594602"/>
                <a:pt x="12215131" y="4801830"/>
              </a:cubicBezTo>
              <a:cubicBezTo>
                <a:pt x="12216842" y="5009058"/>
                <a:pt x="12195089" y="5191188"/>
                <a:pt x="12215131" y="5459047"/>
              </a:cubicBezTo>
              <a:cubicBezTo>
                <a:pt x="12235173" y="5726906"/>
                <a:pt x="12214283" y="5767415"/>
                <a:pt x="12215131" y="5986005"/>
              </a:cubicBezTo>
              <a:cubicBezTo>
                <a:pt x="12215979" y="6204595"/>
                <a:pt x="12191621" y="6365345"/>
                <a:pt x="12215131" y="6512963"/>
              </a:cubicBezTo>
              <a:cubicBezTo>
                <a:pt x="12060717" y="6550823"/>
                <a:pt x="11819014" y="6469598"/>
                <a:pt x="11633458" y="6512963"/>
              </a:cubicBezTo>
              <a:cubicBezTo>
                <a:pt x="11447902" y="6556328"/>
                <a:pt x="11051946" y="6470187"/>
                <a:pt x="10807483" y="6512963"/>
              </a:cubicBezTo>
              <a:cubicBezTo>
                <a:pt x="10563020" y="6555739"/>
                <a:pt x="10237197" y="6422186"/>
                <a:pt x="9981507" y="6512963"/>
              </a:cubicBezTo>
              <a:cubicBezTo>
                <a:pt x="9725817" y="6603740"/>
                <a:pt x="9658727" y="6466763"/>
                <a:pt x="9521985" y="6512963"/>
              </a:cubicBezTo>
              <a:cubicBezTo>
                <a:pt x="9385243" y="6559163"/>
                <a:pt x="9216956" y="6466056"/>
                <a:pt x="9062464" y="6512963"/>
              </a:cubicBezTo>
              <a:cubicBezTo>
                <a:pt x="8907972" y="6559870"/>
                <a:pt x="8796418" y="6497199"/>
                <a:pt x="8725094" y="6512963"/>
              </a:cubicBezTo>
              <a:cubicBezTo>
                <a:pt x="8653770" y="6528727"/>
                <a:pt x="8453989" y="6505136"/>
                <a:pt x="8265572" y="6512963"/>
              </a:cubicBezTo>
              <a:cubicBezTo>
                <a:pt x="8077155" y="6520790"/>
                <a:pt x="7812445" y="6461099"/>
                <a:pt x="7561748" y="6512963"/>
              </a:cubicBezTo>
              <a:cubicBezTo>
                <a:pt x="7311051" y="6564827"/>
                <a:pt x="7124174" y="6453652"/>
                <a:pt x="6857924" y="6512963"/>
              </a:cubicBezTo>
              <a:cubicBezTo>
                <a:pt x="6591674" y="6572274"/>
                <a:pt x="6652234" y="6487876"/>
                <a:pt x="6520553" y="6512963"/>
              </a:cubicBezTo>
              <a:cubicBezTo>
                <a:pt x="6388872" y="6538050"/>
                <a:pt x="6405974" y="6496854"/>
                <a:pt x="6305334" y="6512963"/>
              </a:cubicBezTo>
              <a:cubicBezTo>
                <a:pt x="6204694" y="6529072"/>
                <a:pt x="5943409" y="6480202"/>
                <a:pt x="5845813" y="6512963"/>
              </a:cubicBezTo>
              <a:cubicBezTo>
                <a:pt x="5748217" y="6545724"/>
                <a:pt x="5676699" y="6506163"/>
                <a:pt x="5630594" y="6512963"/>
              </a:cubicBezTo>
              <a:cubicBezTo>
                <a:pt x="5584489" y="6519763"/>
                <a:pt x="5283103" y="6460456"/>
                <a:pt x="5048921" y="6512963"/>
              </a:cubicBezTo>
              <a:cubicBezTo>
                <a:pt x="4814739" y="6565470"/>
                <a:pt x="4922544" y="6489761"/>
                <a:pt x="4833702" y="6512963"/>
              </a:cubicBezTo>
              <a:cubicBezTo>
                <a:pt x="4744860" y="6536165"/>
                <a:pt x="4355555" y="6495571"/>
                <a:pt x="4007726" y="6512963"/>
              </a:cubicBezTo>
              <a:cubicBezTo>
                <a:pt x="3659897" y="6530355"/>
                <a:pt x="3849692" y="6499335"/>
                <a:pt x="3792507" y="6512963"/>
              </a:cubicBezTo>
              <a:cubicBezTo>
                <a:pt x="3735322" y="6526591"/>
                <a:pt x="3515626" y="6473670"/>
                <a:pt x="3332986" y="6512963"/>
              </a:cubicBezTo>
              <a:cubicBezTo>
                <a:pt x="3150346" y="6552256"/>
                <a:pt x="2813377" y="6478781"/>
                <a:pt x="2507010" y="6512963"/>
              </a:cubicBezTo>
              <a:cubicBezTo>
                <a:pt x="2200643" y="6547145"/>
                <a:pt x="1995472" y="6462320"/>
                <a:pt x="1681035" y="6512963"/>
              </a:cubicBezTo>
              <a:cubicBezTo>
                <a:pt x="1366599" y="6563606"/>
                <a:pt x="1314004" y="6463784"/>
                <a:pt x="977210" y="6512963"/>
              </a:cubicBezTo>
              <a:cubicBezTo>
                <a:pt x="640417" y="6562142"/>
                <a:pt x="204455" y="6453772"/>
                <a:pt x="0" y="6512963"/>
              </a:cubicBezTo>
              <a:cubicBezTo>
                <a:pt x="-46582" y="6319502"/>
                <a:pt x="16635" y="6260021"/>
                <a:pt x="0" y="6051135"/>
              </a:cubicBezTo>
              <a:cubicBezTo>
                <a:pt x="-16635" y="5842249"/>
                <a:pt x="4009" y="5642603"/>
                <a:pt x="0" y="5524177"/>
              </a:cubicBezTo>
              <a:cubicBezTo>
                <a:pt x="-4009" y="5405751"/>
                <a:pt x="54438" y="5168942"/>
                <a:pt x="0" y="4997219"/>
              </a:cubicBezTo>
              <a:cubicBezTo>
                <a:pt x="-54438" y="4825496"/>
                <a:pt x="5031" y="4723081"/>
                <a:pt x="0" y="4535391"/>
              </a:cubicBezTo>
              <a:cubicBezTo>
                <a:pt x="-5031" y="4347701"/>
                <a:pt x="44952" y="4159460"/>
                <a:pt x="0" y="3943303"/>
              </a:cubicBezTo>
              <a:cubicBezTo>
                <a:pt x="-44952" y="3727146"/>
                <a:pt x="58981" y="3606388"/>
                <a:pt x="0" y="3351216"/>
              </a:cubicBezTo>
              <a:cubicBezTo>
                <a:pt x="-58981" y="3096044"/>
                <a:pt x="5056" y="3114331"/>
                <a:pt x="0" y="2889387"/>
              </a:cubicBezTo>
              <a:cubicBezTo>
                <a:pt x="-5056" y="2664443"/>
                <a:pt x="75240" y="2435662"/>
                <a:pt x="0" y="2167040"/>
              </a:cubicBezTo>
              <a:cubicBezTo>
                <a:pt x="-75240" y="1898418"/>
                <a:pt x="36675" y="1803459"/>
                <a:pt x="0" y="1509823"/>
              </a:cubicBezTo>
              <a:cubicBezTo>
                <a:pt x="-36675" y="1216187"/>
                <a:pt x="10939" y="1083531"/>
                <a:pt x="0" y="917736"/>
              </a:cubicBezTo>
              <a:cubicBezTo>
                <a:pt x="-10939" y="751941"/>
                <a:pt x="75010" y="324737"/>
                <a:pt x="0" y="0"/>
              </a:cubicBezTo>
              <a:close/>
            </a:path>
          </a:pathLst>
        </a:custGeom>
        <a:solidFill>
          <a:srgbClr val="FBE5E9"/>
        </a:solidFill>
        <a:ln w="3175">
          <a:solidFill>
            <a:schemeClr val="tx1"/>
          </a:solidFill>
          <a:prstDash val="sysDot"/>
          <a:extLst>
            <a:ext uri="{C807C97D-BFC1-408E-A445-0C87EB9F89A2}">
              <ask:lineSketchStyleProps xmlns:ask="http://schemas.microsoft.com/office/drawing/2018/sketchyshapes" sd="3025069974">
                <a:prstGeom prst="rect">
                  <a:avLst/>
                </a:prstGeom>
                <ask:type>
                  <ask:lineSketchScribble/>
                </ask:type>
              </ask:lineSketchStyleProps>
            </a:ext>
          </a:extLst>
        </a:ln>
        <a:effectLst>
          <a:innerShdw blurRad="114300">
            <a:prstClr val="black"/>
          </a:innerShdw>
        </a:effectLst>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IN" sz="1100">
            <a:ln>
              <a:solidFill>
                <a:schemeClr val="tx2">
                  <a:lumMod val="60000"/>
                  <a:lumOff val="40000"/>
                </a:schemeClr>
              </a:solidFill>
            </a:ln>
            <a:solidFill>
              <a:schemeClr val="accent2">
                <a:lumMod val="20000"/>
                <a:lumOff val="80000"/>
              </a:schemeClr>
            </a:solidFill>
          </a:endParaRPr>
        </a:p>
      </xdr:txBody>
    </xdr:sp>
    <xdr:clientData/>
  </xdr:twoCellAnchor>
  <xdr:twoCellAnchor>
    <xdr:from>
      <xdr:col>4</xdr:col>
      <xdr:colOff>333374</xdr:colOff>
      <xdr:row>19</xdr:row>
      <xdr:rowOff>155122</xdr:rowOff>
    </xdr:from>
    <xdr:to>
      <xdr:col>11</xdr:col>
      <xdr:colOff>133350</xdr:colOff>
      <xdr:row>32</xdr:row>
      <xdr:rowOff>122660</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590549</xdr:colOff>
      <xdr:row>5</xdr:row>
      <xdr:rowOff>154732</xdr:rowOff>
    </xdr:from>
    <xdr:to>
      <xdr:col>19</xdr:col>
      <xdr:colOff>238124</xdr:colOff>
      <xdr:row>18</xdr:row>
      <xdr:rowOff>93694</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285750</xdr:colOff>
      <xdr:row>5</xdr:row>
      <xdr:rowOff>181556</xdr:rowOff>
    </xdr:from>
    <xdr:to>
      <xdr:col>11</xdr:col>
      <xdr:colOff>180975</xdr:colOff>
      <xdr:row>18</xdr:row>
      <xdr:rowOff>114881</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76200</xdr:colOff>
      <xdr:row>19</xdr:row>
      <xdr:rowOff>152207</xdr:rowOff>
    </xdr:from>
    <xdr:to>
      <xdr:col>19</xdr:col>
      <xdr:colOff>133350</xdr:colOff>
      <xdr:row>32</xdr:row>
      <xdr:rowOff>56957</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452725</xdr:colOff>
      <xdr:row>20</xdr:row>
      <xdr:rowOff>132380</xdr:rowOff>
    </xdr:from>
    <xdr:to>
      <xdr:col>3</xdr:col>
      <xdr:colOff>398494</xdr:colOff>
      <xdr:row>32</xdr:row>
      <xdr:rowOff>106910</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452725" y="4029854"/>
              <a:ext cx="1782733" cy="23071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423375</xdr:colOff>
      <xdr:row>14</xdr:row>
      <xdr:rowOff>7379</xdr:rowOff>
    </xdr:from>
    <xdr:to>
      <xdr:col>3</xdr:col>
      <xdr:colOff>423375</xdr:colOff>
      <xdr:row>20</xdr:row>
      <xdr:rowOff>55004</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23375" y="2738527"/>
              <a:ext cx="1836964" cy="1213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294011</xdr:colOff>
      <xdr:row>1</xdr:row>
      <xdr:rowOff>86745</xdr:rowOff>
    </xdr:from>
    <xdr:to>
      <xdr:col>11</xdr:col>
      <xdr:colOff>272143</xdr:colOff>
      <xdr:row>4</xdr:row>
      <xdr:rowOff>77026</xdr:rowOff>
    </xdr:to>
    <xdr:sp macro="" textlink="">
      <xdr:nvSpPr>
        <xdr:cNvPr id="11" name="TextBox 10">
          <a:extLst>
            <a:ext uri="{FF2B5EF4-FFF2-40B4-BE49-F238E27FC236}">
              <a16:creationId xmlns:a16="http://schemas.microsoft.com/office/drawing/2014/main" id="{0B87F9E7-8564-92CA-83B5-FB4EDB307AE2}"/>
            </a:ext>
          </a:extLst>
        </xdr:cNvPr>
        <xdr:cNvSpPr txBox="1"/>
      </xdr:nvSpPr>
      <xdr:spPr>
        <a:xfrm>
          <a:off x="294011" y="281133"/>
          <a:ext cx="6713668"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E-COMMERCE</a:t>
          </a:r>
          <a:r>
            <a:rPr lang="en-IN" sz="3200" b="1" cap="none" spc="0" baseline="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 SALES DASHBOARD</a:t>
          </a:r>
          <a:endPar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endParaRPr>
        </a:p>
      </xdr:txBody>
    </xdr:sp>
    <xdr:clientData/>
  </xdr:twoCellAnchor>
  <xdr:twoCellAnchor>
    <xdr:from>
      <xdr:col>12</xdr:col>
      <xdr:colOff>398495</xdr:colOff>
      <xdr:row>1</xdr:row>
      <xdr:rowOff>48596</xdr:rowOff>
    </xdr:from>
    <xdr:to>
      <xdr:col>15</xdr:col>
      <xdr:colOff>223546</xdr:colOff>
      <xdr:row>5</xdr:row>
      <xdr:rowOff>9718</xdr:rowOff>
    </xdr:to>
    <xdr:sp macro="" textlink="Pivots!F7">
      <xdr:nvSpPr>
        <xdr:cNvPr id="12" name="Rectangle: Rounded Corners 11">
          <a:extLst>
            <a:ext uri="{FF2B5EF4-FFF2-40B4-BE49-F238E27FC236}">
              <a16:creationId xmlns:a16="http://schemas.microsoft.com/office/drawing/2014/main" id="{EDCCCF24-B8C0-CDC4-581A-AC2130843AEA}"/>
            </a:ext>
          </a:extLst>
        </xdr:cNvPr>
        <xdr:cNvSpPr/>
      </xdr:nvSpPr>
      <xdr:spPr>
        <a:xfrm>
          <a:off x="7746352" y="242984"/>
          <a:ext cx="1662015" cy="748392"/>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marL="0" indent="0"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Total Oder</a:t>
          </a:r>
        </a:p>
        <a:p>
          <a:pPr marL="0" indent="0" algn="ctr"/>
          <a:fld id="{3E95F172-B225-4BEC-A0C8-ED248710CDE6}"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600</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twoCellAnchor>
    <xdr:from>
      <xdr:col>16</xdr:col>
      <xdr:colOff>55206</xdr:colOff>
      <xdr:row>1</xdr:row>
      <xdr:rowOff>35767</xdr:rowOff>
    </xdr:from>
    <xdr:to>
      <xdr:col>18</xdr:col>
      <xdr:colOff>492578</xdr:colOff>
      <xdr:row>4</xdr:row>
      <xdr:rowOff>191277</xdr:rowOff>
    </xdr:to>
    <xdr:sp macro="" textlink="Pivots!F13">
      <xdr:nvSpPr>
        <xdr:cNvPr id="13" name="Rectangle: Rounded Corners 12">
          <a:extLst>
            <a:ext uri="{FF2B5EF4-FFF2-40B4-BE49-F238E27FC236}">
              <a16:creationId xmlns:a16="http://schemas.microsoft.com/office/drawing/2014/main" id="{70DAB141-2333-413C-9FB0-B4F1C4FBA04F}"/>
            </a:ext>
          </a:extLst>
        </xdr:cNvPr>
        <xdr:cNvSpPr/>
      </xdr:nvSpPr>
      <xdr:spPr>
        <a:xfrm>
          <a:off x="9852349" y="230155"/>
          <a:ext cx="1662015" cy="748392"/>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marL="0" indent="0"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 Oder  Value</a:t>
          </a:r>
        </a:p>
        <a:p>
          <a:pPr marL="0" indent="0" algn="ctr"/>
          <a:fld id="{9FA46A48-A744-4263-82AD-2456137FCBC3}"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31930.16667</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twoCellAnchor>
    <xdr:from>
      <xdr:col>0</xdr:col>
      <xdr:colOff>372837</xdr:colOff>
      <xdr:row>4</xdr:row>
      <xdr:rowOff>178448</xdr:rowOff>
    </xdr:from>
    <xdr:to>
      <xdr:col>3</xdr:col>
      <xdr:colOff>398496</xdr:colOff>
      <xdr:row>9</xdr:row>
      <xdr:rowOff>19439</xdr:rowOff>
    </xdr:to>
    <xdr:sp macro="" textlink="Pivots!F4">
      <xdr:nvSpPr>
        <xdr:cNvPr id="14" name="Rectangle: Rounded Corners 13">
          <a:extLst>
            <a:ext uri="{FF2B5EF4-FFF2-40B4-BE49-F238E27FC236}">
              <a16:creationId xmlns:a16="http://schemas.microsoft.com/office/drawing/2014/main" id="{65E51A9D-6D57-4469-BA80-8E6647176A7E}"/>
            </a:ext>
          </a:extLst>
        </xdr:cNvPr>
        <xdr:cNvSpPr/>
      </xdr:nvSpPr>
      <xdr:spPr>
        <a:xfrm>
          <a:off x="372837" y="965718"/>
          <a:ext cx="1862623" cy="81293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Revenue</a:t>
          </a:r>
        </a:p>
        <a:p>
          <a:pPr algn="ctr"/>
          <a:fld id="{C62A7678-75DF-4085-9E33-38D8B37BAF7D}"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algn="ctr"/>
            <a:t> ₹ 19,158,100 </a:t>
          </a:fld>
          <a:endParaRPr lang="en-IN" sz="18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twoCellAnchor>
    <xdr:from>
      <xdr:col>0</xdr:col>
      <xdr:colOff>369335</xdr:colOff>
      <xdr:row>9</xdr:row>
      <xdr:rowOff>113519</xdr:rowOff>
    </xdr:from>
    <xdr:to>
      <xdr:col>3</xdr:col>
      <xdr:colOff>397747</xdr:colOff>
      <xdr:row>13</xdr:row>
      <xdr:rowOff>149784</xdr:rowOff>
    </xdr:to>
    <xdr:sp macro="" textlink="Pivots!F16">
      <xdr:nvSpPr>
        <xdr:cNvPr id="15" name="Rectangle: Rounded Corners 14">
          <a:extLst>
            <a:ext uri="{FF2B5EF4-FFF2-40B4-BE49-F238E27FC236}">
              <a16:creationId xmlns:a16="http://schemas.microsoft.com/office/drawing/2014/main" id="{E9F6883D-720C-422F-967A-EDD99DB2DAE7}"/>
            </a:ext>
          </a:extLst>
        </xdr:cNvPr>
        <xdr:cNvSpPr/>
      </xdr:nvSpPr>
      <xdr:spPr>
        <a:xfrm>
          <a:off x="369335" y="1872728"/>
          <a:ext cx="1865376" cy="813816"/>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marL="0" indent="0"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Quantity Sold</a:t>
          </a:r>
        </a:p>
        <a:p>
          <a:pPr marL="0" indent="0" algn="ctr"/>
          <a:fld id="{BCFA1E5C-254E-4FCC-8BA6-4D5F74777122}"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marL="0" indent="0" algn="ctr"/>
            <a:t>1757</a:t>
          </a:fld>
          <a:endParaRPr lang="en-IN"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64">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1">
  <location ref="B36:C49"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numFmtId="165"/>
  </dataFields>
  <formats count="2">
    <format dxfId="4">
      <pivotArea outline="0" collapsedLevelsAreSubtotals="1" fieldPosition="0"/>
    </format>
    <format dxfId="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B11:C19"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numFmtId="165"/>
  </dataFields>
  <formats count="2">
    <format dxfId="6">
      <pivotArea outline="0" collapsedLevelsAreSubtotals="1" fieldPosition="0"/>
    </format>
    <format dxfId="5">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3:C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numFmtId="165"/>
  </dataFields>
  <formats count="2">
    <format dxfId="8">
      <pivotArea outline="0" collapsedLevelsAreSubtotals="1" fieldPosition="0"/>
    </format>
    <format dxfId="7">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5" count="1" selected="0">
            <x v="0"/>
          </reference>
        </references>
      </pivotArea>
    </chartFormat>
    <chartFormat chart="4" format="4">
      <pivotArea type="data" outline="0" fieldPosition="0">
        <references count="2">
          <reference field="4294967294" count="1" selected="0">
            <x v="0"/>
          </reference>
          <reference field="5" count="1" selected="0">
            <x v="1"/>
          </reference>
        </references>
      </pivotArea>
    </chartFormat>
    <chartFormat chart="4" format="5">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numFmtId="165"/>
  </dataFields>
  <formats count="2">
    <format dxfId="10">
      <pivotArea outline="0" collapsedLevelsAreSubtotals="1" fieldPosition="0"/>
    </format>
    <format dxfId="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23:C3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numFmtId="165"/>
  </dataFields>
  <formats count="2">
    <format dxfId="12">
      <pivotArea outline="0" collapsedLevelsAreSubtotals="1" fieldPosition="0"/>
    </format>
    <format dxfId="11">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 cetegory"/>
    <pivotTable tabId="2" name="monthly sales"/>
    <pivotTable tabId="2" name="by product"/>
    <pivotTable tabId="2" name="top cunsumer"/>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monthly sales"/>
    <pivotTable tabId="2" name="by product"/>
    <pivotTable tabId="2" name="top cunsumer"/>
  </pivotTables>
  <data>
    <tabular pivotCacheId="60124999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style="SlicerStyleLight2" rowHeight="241300"/>
  <slicer name="Category" xr10:uid="{AB868006-6975-452F-B591-E9BD8DD35C18}" cache="Slicer_Category" caption="Category"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1"/>
    <tableColumn id="13" xr3:uid="{E59D46AD-691E-4CC6-BA8F-673D0988BF7F}" name="Month" dataDxfId="0">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F66"/>
  <sheetViews>
    <sheetView workbookViewId="0">
      <selection activeCell="F16" sqref="F16"/>
    </sheetView>
  </sheetViews>
  <sheetFormatPr defaultRowHeight="15" x14ac:dyDescent="0.25"/>
  <cols>
    <col min="2" max="2" width="13.140625" bestFit="1" customWidth="1"/>
    <col min="3" max="3" width="18.140625" style="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6" x14ac:dyDescent="0.25">
      <c r="B3" s="3" t="s">
        <v>351</v>
      </c>
      <c r="C3" s="5" t="s">
        <v>353</v>
      </c>
      <c r="F3" t="s">
        <v>367</v>
      </c>
    </row>
    <row r="4" spans="2:6" x14ac:dyDescent="0.25">
      <c r="B4" s="4" t="s">
        <v>44</v>
      </c>
      <c r="C4" s="5">
        <v>1385000</v>
      </c>
      <c r="F4" s="6">
        <f>SUM(Ecommerce_Data[Total Sales])</f>
        <v>19158100</v>
      </c>
    </row>
    <row r="5" spans="2:6" x14ac:dyDescent="0.25">
      <c r="B5" s="4" t="s">
        <v>22</v>
      </c>
      <c r="C5" s="5">
        <v>16567500</v>
      </c>
    </row>
    <row r="6" spans="2:6" x14ac:dyDescent="0.25">
      <c r="B6" s="4" t="s">
        <v>13</v>
      </c>
      <c r="C6" s="5">
        <v>1205600</v>
      </c>
      <c r="F6" t="s">
        <v>368</v>
      </c>
    </row>
    <row r="7" spans="2:6" x14ac:dyDescent="0.25">
      <c r="B7" s="4" t="s">
        <v>352</v>
      </c>
      <c r="C7" s="5">
        <v>19158100</v>
      </c>
      <c r="F7">
        <f>COUNTA(Ecommerce_Data[Order ID])</f>
        <v>600</v>
      </c>
    </row>
    <row r="9" spans="2:6" x14ac:dyDescent="0.25">
      <c r="F9" t="s">
        <v>369</v>
      </c>
    </row>
    <row r="11" spans="2:6" x14ac:dyDescent="0.25">
      <c r="B11" s="3" t="s">
        <v>351</v>
      </c>
      <c r="C11" s="5" t="s">
        <v>353</v>
      </c>
    </row>
    <row r="12" spans="2:6" x14ac:dyDescent="0.25">
      <c r="B12" s="4" t="s">
        <v>39</v>
      </c>
      <c r="C12" s="5">
        <v>2737200</v>
      </c>
      <c r="F12" t="s">
        <v>370</v>
      </c>
    </row>
    <row r="13" spans="2:6" x14ac:dyDescent="0.25">
      <c r="B13" s="4" t="s">
        <v>25</v>
      </c>
      <c r="C13" s="5">
        <v>2996300</v>
      </c>
      <c r="F13">
        <f>SUM(Ecommerce_Data[Total Sales]) / COUNTA(Ecommerce_Data[Order ID])</f>
        <v>31930.166666666668</v>
      </c>
    </row>
    <row r="14" spans="2:6" x14ac:dyDescent="0.25">
      <c r="B14" s="4" t="s">
        <v>16</v>
      </c>
      <c r="C14" s="5">
        <v>1914000</v>
      </c>
    </row>
    <row r="15" spans="2:6" x14ac:dyDescent="0.25">
      <c r="B15" s="4" t="s">
        <v>33</v>
      </c>
      <c r="C15" s="5">
        <v>3072800</v>
      </c>
      <c r="F15" t="s">
        <v>371</v>
      </c>
    </row>
    <row r="16" spans="2:6" x14ac:dyDescent="0.25">
      <c r="B16" s="4" t="s">
        <v>11</v>
      </c>
      <c r="C16" s="5">
        <v>2920500</v>
      </c>
      <c r="F16">
        <f>SUM(Ecommerce_Data[Quantity])</f>
        <v>1757</v>
      </c>
    </row>
    <row r="17" spans="2:3" x14ac:dyDescent="0.25">
      <c r="B17" s="4" t="s">
        <v>47</v>
      </c>
      <c r="C17" s="5">
        <v>2604000</v>
      </c>
    </row>
    <row r="18" spans="2:3" x14ac:dyDescent="0.25">
      <c r="B18" s="4" t="s">
        <v>20</v>
      </c>
      <c r="C18" s="5">
        <v>2913300</v>
      </c>
    </row>
    <row r="19" spans="2:3" x14ac:dyDescent="0.25">
      <c r="B19" s="4" t="s">
        <v>352</v>
      </c>
      <c r="C19" s="5">
        <v>19158100</v>
      </c>
    </row>
    <row r="23" spans="2:3" x14ac:dyDescent="0.25">
      <c r="B23" s="3" t="s">
        <v>351</v>
      </c>
      <c r="C23" s="5" t="s">
        <v>353</v>
      </c>
    </row>
    <row r="24" spans="2:3" x14ac:dyDescent="0.25">
      <c r="B24" s="4" t="s">
        <v>43</v>
      </c>
      <c r="C24" s="5">
        <v>315000</v>
      </c>
    </row>
    <row r="25" spans="2:3" x14ac:dyDescent="0.25">
      <c r="B25" s="4" t="s">
        <v>26</v>
      </c>
      <c r="C25" s="5">
        <v>587500</v>
      </c>
    </row>
    <row r="26" spans="2:3" x14ac:dyDescent="0.25">
      <c r="B26" s="4" t="s">
        <v>51</v>
      </c>
      <c r="C26" s="5">
        <v>414000</v>
      </c>
    </row>
    <row r="27" spans="2:3" x14ac:dyDescent="0.25">
      <c r="B27" s="4" t="s">
        <v>21</v>
      </c>
      <c r="C27" s="5">
        <v>11400000</v>
      </c>
    </row>
    <row r="28" spans="2:3" x14ac:dyDescent="0.25">
      <c r="B28" s="4" t="s">
        <v>35</v>
      </c>
      <c r="C28" s="5">
        <v>4580000</v>
      </c>
    </row>
    <row r="29" spans="2:3" x14ac:dyDescent="0.25">
      <c r="B29" s="4" t="s">
        <v>17</v>
      </c>
      <c r="C29" s="5">
        <v>606000</v>
      </c>
    </row>
    <row r="30" spans="2:3" x14ac:dyDescent="0.25">
      <c r="B30" s="4" t="s">
        <v>12</v>
      </c>
      <c r="C30" s="5">
        <v>185600</v>
      </c>
    </row>
    <row r="31" spans="2:3" x14ac:dyDescent="0.25">
      <c r="B31" s="4" t="s">
        <v>48</v>
      </c>
      <c r="C31" s="5">
        <v>1070000</v>
      </c>
    </row>
    <row r="32" spans="2:3" x14ac:dyDescent="0.25">
      <c r="B32" s="4" t="s">
        <v>352</v>
      </c>
      <c r="C32" s="5">
        <v>19158100</v>
      </c>
    </row>
    <row r="36" spans="2:3" x14ac:dyDescent="0.25">
      <c r="B36" s="3" t="s">
        <v>351</v>
      </c>
      <c r="C36" s="5" t="s">
        <v>353</v>
      </c>
    </row>
    <row r="37" spans="2:3" x14ac:dyDescent="0.25">
      <c r="B37" s="4" t="s">
        <v>354</v>
      </c>
      <c r="C37" s="5">
        <v>2075900</v>
      </c>
    </row>
    <row r="38" spans="2:3" x14ac:dyDescent="0.25">
      <c r="B38" s="4" t="s">
        <v>355</v>
      </c>
      <c r="C38" s="5">
        <v>1004500</v>
      </c>
    </row>
    <row r="39" spans="2:3" x14ac:dyDescent="0.25">
      <c r="B39" s="4" t="s">
        <v>356</v>
      </c>
      <c r="C39" s="5">
        <v>1088700</v>
      </c>
    </row>
    <row r="40" spans="2:3" x14ac:dyDescent="0.25">
      <c r="B40" s="4" t="s">
        <v>357</v>
      </c>
      <c r="C40" s="5">
        <v>1215100</v>
      </c>
    </row>
    <row r="41" spans="2:3" x14ac:dyDescent="0.25">
      <c r="B41" s="4" t="s">
        <v>358</v>
      </c>
      <c r="C41" s="5">
        <v>1553100</v>
      </c>
    </row>
    <row r="42" spans="2:3" x14ac:dyDescent="0.25">
      <c r="B42" s="4" t="s">
        <v>359</v>
      </c>
      <c r="C42" s="5">
        <v>2927200</v>
      </c>
    </row>
    <row r="43" spans="2:3" x14ac:dyDescent="0.25">
      <c r="B43" s="4" t="s">
        <v>360</v>
      </c>
      <c r="C43" s="5">
        <v>1340000</v>
      </c>
    </row>
    <row r="44" spans="2:3" x14ac:dyDescent="0.25">
      <c r="B44" s="4" t="s">
        <v>361</v>
      </c>
      <c r="C44" s="5">
        <v>1671200</v>
      </c>
    </row>
    <row r="45" spans="2:3" x14ac:dyDescent="0.25">
      <c r="B45" s="4" t="s">
        <v>362</v>
      </c>
      <c r="C45" s="5">
        <v>1662900</v>
      </c>
    </row>
    <row r="46" spans="2:3" x14ac:dyDescent="0.25">
      <c r="B46" s="4" t="s">
        <v>363</v>
      </c>
      <c r="C46" s="5">
        <v>1699400</v>
      </c>
    </row>
    <row r="47" spans="2:3" x14ac:dyDescent="0.25">
      <c r="B47" s="4" t="s">
        <v>364</v>
      </c>
      <c r="C47" s="5">
        <v>1319900</v>
      </c>
    </row>
    <row r="48" spans="2:3" x14ac:dyDescent="0.25">
      <c r="B48" s="4" t="s">
        <v>365</v>
      </c>
      <c r="C48" s="5">
        <v>1600200</v>
      </c>
    </row>
    <row r="49" spans="2:3" x14ac:dyDescent="0.25">
      <c r="B49" s="4" t="s">
        <v>352</v>
      </c>
      <c r="C49" s="5">
        <v>19158100</v>
      </c>
    </row>
    <row r="53" spans="2:3" x14ac:dyDescent="0.25">
      <c r="B53" s="3" t="s">
        <v>351</v>
      </c>
      <c r="C53" s="5" t="s">
        <v>353</v>
      </c>
    </row>
    <row r="54" spans="2:3" x14ac:dyDescent="0.25">
      <c r="B54" s="4" t="s">
        <v>42</v>
      </c>
      <c r="C54" s="5">
        <v>749900</v>
      </c>
    </row>
    <row r="55" spans="2:3" x14ac:dyDescent="0.25">
      <c r="B55" s="4" t="s">
        <v>53</v>
      </c>
      <c r="C55" s="5">
        <v>1526900</v>
      </c>
    </row>
    <row r="56" spans="2:3" x14ac:dyDescent="0.25">
      <c r="B56" s="4" t="s">
        <v>24</v>
      </c>
      <c r="C56" s="5">
        <v>1139000</v>
      </c>
    </row>
    <row r="57" spans="2:3" x14ac:dyDescent="0.25">
      <c r="B57" s="4" t="s">
        <v>28</v>
      </c>
      <c r="C57" s="5">
        <v>2066300</v>
      </c>
    </row>
    <row r="58" spans="2:3" x14ac:dyDescent="0.25">
      <c r="B58" s="4" t="s">
        <v>10</v>
      </c>
      <c r="C58" s="5">
        <v>1121800</v>
      </c>
    </row>
    <row r="59" spans="2:3" x14ac:dyDescent="0.25">
      <c r="B59" s="4" t="s">
        <v>50</v>
      </c>
      <c r="C59" s="5">
        <v>2391600</v>
      </c>
    </row>
    <row r="60" spans="2:3" x14ac:dyDescent="0.25">
      <c r="B60" s="4" t="s">
        <v>38</v>
      </c>
      <c r="C60" s="5">
        <v>1752800</v>
      </c>
    </row>
    <row r="61" spans="2:3" x14ac:dyDescent="0.25">
      <c r="B61" s="4" t="s">
        <v>19</v>
      </c>
      <c r="C61" s="5">
        <v>934900</v>
      </c>
    </row>
    <row r="62" spans="2:3" x14ac:dyDescent="0.25">
      <c r="B62" s="4" t="s">
        <v>15</v>
      </c>
      <c r="C62" s="5">
        <v>1588100</v>
      </c>
    </row>
    <row r="63" spans="2:3" x14ac:dyDescent="0.25">
      <c r="B63" s="4" t="s">
        <v>57</v>
      </c>
      <c r="C63" s="5">
        <v>3068200</v>
      </c>
    </row>
    <row r="64" spans="2:3" x14ac:dyDescent="0.25">
      <c r="B64" s="4" t="s">
        <v>32</v>
      </c>
      <c r="C64" s="5">
        <v>1144000</v>
      </c>
    </row>
    <row r="65" spans="2:3" x14ac:dyDescent="0.25">
      <c r="B65" s="4" t="s">
        <v>30</v>
      </c>
      <c r="C65" s="5">
        <v>1674600</v>
      </c>
    </row>
    <row r="66" spans="2:3" x14ac:dyDescent="0.25">
      <c r="B66" s="4" t="s">
        <v>352</v>
      </c>
      <c r="C66" s="5">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3:A4"/>
  <sheetViews>
    <sheetView tabSelected="1" zoomScale="98" zoomScaleNormal="80" workbookViewId="0">
      <selection activeCell="D38" sqref="D38"/>
    </sheetView>
  </sheetViews>
  <sheetFormatPr defaultRowHeight="15" x14ac:dyDescent="0.25"/>
  <cols>
    <col min="3" max="3" width="9.140625" customWidth="1"/>
  </cols>
  <sheetData>
    <row r="3" ht="15" customHeight="1" x14ac:dyDescent="0.25"/>
    <row r="4" ht="15.75"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workbookViewId="0">
      <selection activeCell="N11" sqref="N11"/>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366</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2026-04-07T06:11:57Z</dcterms:modified>
</cp:coreProperties>
</file>