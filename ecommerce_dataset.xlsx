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8434b598a5cd0be/Desktop/e-Commerce/"/>
    </mc:Choice>
  </mc:AlternateContent>
  <xr:revisionPtr revIDLastSave="1" documentId="11_C8A876209441D2CEEB3B98154B5DCE3A0742A5AD" xr6:coauthVersionLast="47" xr6:coauthVersionMax="47" xr10:uidLastSave="{3754A7C2-80B7-459A-AF86-D0D8B7490F45}"/>
  <bookViews>
    <workbookView xWindow="-120" yWindow="-120" windowWidth="20730" windowHeight="11760" activeTab="1" xr2:uid="{00000000-000D-0000-FFFF-FFFF00000000}"/>
  </bookViews>
  <sheets>
    <sheet name="Detail1" sheetId="3" r:id="rId1"/>
    <sheet name="Sheet1" sheetId="2" r:id="rId2"/>
    <sheet name="Ecommerce_Data" sheetId="1" r:id="rId3"/>
  </sheets>
  <definedNames>
    <definedName name="Slicer_Category">#N/A</definedName>
    <definedName name="Slicer_City">#N/A</definedName>
    <definedName name="Slicer_Month">#N/A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alcChain>
</file>

<file path=xl/sharedStrings.xml><?xml version="1.0" encoding="utf-8"?>
<sst xmlns="http://schemas.openxmlformats.org/spreadsheetml/2006/main" count="3476" uniqueCount="367">
  <si>
    <t>Order ID</t>
  </si>
  <si>
    <t>Order Date</t>
  </si>
  <si>
    <t>Customer Name</t>
  </si>
  <si>
    <t>City</t>
  </si>
  <si>
    <t>Product Name</t>
  </si>
  <si>
    <t>Category</t>
  </si>
  <si>
    <t>Quantity</t>
  </si>
  <si>
    <t>Price</t>
  </si>
  <si>
    <t>Total Sales</t>
  </si>
  <si>
    <t>02-03-2024</t>
  </si>
  <si>
    <t>Neha</t>
  </si>
  <si>
    <t>Mumbai</t>
  </si>
  <si>
    <t>T-Shirt</t>
  </si>
  <si>
    <t>Fashion</t>
  </si>
  <si>
    <t>09-10-2024</t>
  </si>
  <si>
    <t>Rohit</t>
  </si>
  <si>
    <t>Delhi</t>
  </si>
  <si>
    <t>Shoes</t>
  </si>
  <si>
    <t>02-10-2024</t>
  </si>
  <si>
    <t>Raj</t>
  </si>
  <si>
    <t>Surat</t>
  </si>
  <si>
    <t>Laptop</t>
  </si>
  <si>
    <t>Electronics</t>
  </si>
  <si>
    <t>28-09-2024</t>
  </si>
  <si>
    <t>Karan</t>
  </si>
  <si>
    <t>Bangalore</t>
  </si>
  <si>
    <t>Headphones</t>
  </si>
  <si>
    <t>22-06-2024</t>
  </si>
  <si>
    <t>Meera</t>
  </si>
  <si>
    <t>15-08-2024</t>
  </si>
  <si>
    <t>Vikram</t>
  </si>
  <si>
    <t>13-07-2024</t>
  </si>
  <si>
    <t>Simran</t>
  </si>
  <si>
    <t>Jaipur</t>
  </si>
  <si>
    <t>04-03-2024</t>
  </si>
  <si>
    <t>Phone</t>
  </si>
  <si>
    <t>01-12-2024</t>
  </si>
  <si>
    <t>26-04-2024</t>
  </si>
  <si>
    <t>Priya</t>
  </si>
  <si>
    <t>Ahmedabad</t>
  </si>
  <si>
    <t>18-10-2024</t>
  </si>
  <si>
    <t>13-05-2024</t>
  </si>
  <si>
    <t>Amit</t>
  </si>
  <si>
    <t>Bag</t>
  </si>
  <si>
    <t>Accessories</t>
  </si>
  <si>
    <t>06-10-2024</t>
  </si>
  <si>
    <t>06-11-2024</t>
  </si>
  <si>
    <t>Pune</t>
  </si>
  <si>
    <t>Watch</t>
  </si>
  <si>
    <t>01-08-2024</t>
  </si>
  <si>
    <t>Pooja</t>
  </si>
  <si>
    <t>Jeans</t>
  </si>
  <si>
    <t>12-04-2024</t>
  </si>
  <si>
    <t>Anjali</t>
  </si>
  <si>
    <t>05-03-2024</t>
  </si>
  <si>
    <t>12-02-2024</t>
  </si>
  <si>
    <t>14-02-2024</t>
  </si>
  <si>
    <t>Sahil</t>
  </si>
  <si>
    <t>25-04-2024</t>
  </si>
  <si>
    <t>25-12-2024</t>
  </si>
  <si>
    <t>15-10-2024</t>
  </si>
  <si>
    <t>29-06-2024</t>
  </si>
  <si>
    <t>30-01-2024</t>
  </si>
  <si>
    <t>16-06-2024</t>
  </si>
  <si>
    <t>02-09-2024</t>
  </si>
  <si>
    <t>25-08-2024</t>
  </si>
  <si>
    <t>03-10-2024</t>
  </si>
  <si>
    <t>15-09-2024</t>
  </si>
  <si>
    <t>10-02-2024</t>
  </si>
  <si>
    <t>24-06-2024</t>
  </si>
  <si>
    <t>03-09-2024</t>
  </si>
  <si>
    <t>18-12-2024</t>
  </si>
  <si>
    <t>29-04-2024</t>
  </si>
  <si>
    <t>24-09-2024</t>
  </si>
  <si>
    <t>12-11-2024</t>
  </si>
  <si>
    <t>17-09-2024</t>
  </si>
  <si>
    <t>22-01-2024</t>
  </si>
  <si>
    <t>02-08-2024</t>
  </si>
  <si>
    <t>16-02-2024</t>
  </si>
  <si>
    <t>01-10-2024</t>
  </si>
  <si>
    <t>02-12-2024</t>
  </si>
  <si>
    <t>06-06-2024</t>
  </si>
  <si>
    <t>10-08-2024</t>
  </si>
  <si>
    <t>05-11-2024</t>
  </si>
  <si>
    <t>25-11-2024</t>
  </si>
  <si>
    <t>04-11-2024</t>
  </si>
  <si>
    <t>14-10-2024</t>
  </si>
  <si>
    <t>01-03-2024</t>
  </si>
  <si>
    <t>21-12-2024</t>
  </si>
  <si>
    <t>24-05-2024</t>
  </si>
  <si>
    <t>02-06-2024</t>
  </si>
  <si>
    <t>18-01-2024</t>
  </si>
  <si>
    <t>23-04-2024</t>
  </si>
  <si>
    <t>22-04-2024</t>
  </si>
  <si>
    <t>18-09-2024</t>
  </si>
  <si>
    <t>10-09-2024</t>
  </si>
  <si>
    <t>22-12-2024</t>
  </si>
  <si>
    <t>20-01-2024</t>
  </si>
  <si>
    <t>08-06-2024</t>
  </si>
  <si>
    <t>01-02-2024</t>
  </si>
  <si>
    <t>13-04-2024</t>
  </si>
  <si>
    <t>29-09-2024</t>
  </si>
  <si>
    <t>30-12-2024</t>
  </si>
  <si>
    <t>05-12-2024</t>
  </si>
  <si>
    <t>05-09-2024</t>
  </si>
  <si>
    <t>18-06-2024</t>
  </si>
  <si>
    <t>04-02-2024</t>
  </si>
  <si>
    <t>04-09-2024</t>
  </si>
  <si>
    <t>31-05-2024</t>
  </si>
  <si>
    <t>08-02-2024</t>
  </si>
  <si>
    <t>10-06-2024</t>
  </si>
  <si>
    <t>06-01-2024</t>
  </si>
  <si>
    <t>11-04-2024</t>
  </si>
  <si>
    <t>10-10-2024</t>
  </si>
  <si>
    <t>21-08-2024</t>
  </si>
  <si>
    <t>09-11-2024</t>
  </si>
  <si>
    <t>26-03-2024</t>
  </si>
  <si>
    <t>17-02-2024</t>
  </si>
  <si>
    <t>01-04-2024</t>
  </si>
  <si>
    <t>24-11-2024</t>
  </si>
  <si>
    <t>18-03-2024</t>
  </si>
  <si>
    <t>26-07-2024</t>
  </si>
  <si>
    <t>25-07-2024</t>
  </si>
  <si>
    <t>30-08-2024</t>
  </si>
  <si>
    <t>11-01-2024</t>
  </si>
  <si>
    <t>02-11-2024</t>
  </si>
  <si>
    <t>11-10-2024</t>
  </si>
  <si>
    <t>05-04-2024</t>
  </si>
  <si>
    <t>07-02-2024</t>
  </si>
  <si>
    <t>18-02-2024</t>
  </si>
  <si>
    <t>07-12-2024</t>
  </si>
  <si>
    <t>27-03-2024</t>
  </si>
  <si>
    <t>06-03-2024</t>
  </si>
  <si>
    <t>23-07-2024</t>
  </si>
  <si>
    <t>20-09-2024</t>
  </si>
  <si>
    <t>08-04-2024</t>
  </si>
  <si>
    <t>22-07-2024</t>
  </si>
  <si>
    <t>08-08-2024</t>
  </si>
  <si>
    <t>25-02-2024</t>
  </si>
  <si>
    <t>02-07-2024</t>
  </si>
  <si>
    <t>20-12-2024</t>
  </si>
  <si>
    <t>31-03-2024</t>
  </si>
  <si>
    <t>12-09-2024</t>
  </si>
  <si>
    <t>25-05-2024</t>
  </si>
  <si>
    <t>06-05-2024</t>
  </si>
  <si>
    <t>17-08-2024</t>
  </si>
  <si>
    <t>12-01-2024</t>
  </si>
  <si>
    <t>19-11-2024</t>
  </si>
  <si>
    <t>11-11-2024</t>
  </si>
  <si>
    <t>01-11-2024</t>
  </si>
  <si>
    <t>17-03-2024</t>
  </si>
  <si>
    <t>04-07-2024</t>
  </si>
  <si>
    <t>04-12-2024</t>
  </si>
  <si>
    <t>09-05-2024</t>
  </si>
  <si>
    <t>09-03-2024</t>
  </si>
  <si>
    <t>26-01-2024</t>
  </si>
  <si>
    <t>19-01-2024</t>
  </si>
  <si>
    <t>14-04-2024</t>
  </si>
  <si>
    <t>27-09-2024</t>
  </si>
  <si>
    <t>17-10-2024</t>
  </si>
  <si>
    <t>13-02-2024</t>
  </si>
  <si>
    <t>27-05-2024</t>
  </si>
  <si>
    <t>27-04-2024</t>
  </si>
  <si>
    <t>28-08-2024</t>
  </si>
  <si>
    <t>24-01-2024</t>
  </si>
  <si>
    <t>21-05-2024</t>
  </si>
  <si>
    <t>13-03-2024</t>
  </si>
  <si>
    <t>23-10-2024</t>
  </si>
  <si>
    <t>26-08-2024</t>
  </si>
  <si>
    <t>24-08-2024</t>
  </si>
  <si>
    <t>28-10-2024</t>
  </si>
  <si>
    <t>13-11-2024</t>
  </si>
  <si>
    <t>13-10-2024</t>
  </si>
  <si>
    <t>23-01-2024</t>
  </si>
  <si>
    <t>12-07-2024</t>
  </si>
  <si>
    <t>17-04-2024</t>
  </si>
  <si>
    <t>02-02-2024</t>
  </si>
  <si>
    <t>26-11-2024</t>
  </si>
  <si>
    <t>17-11-2024</t>
  </si>
  <si>
    <t>12-05-2024</t>
  </si>
  <si>
    <t>27-01-2024</t>
  </si>
  <si>
    <t>12-06-2024</t>
  </si>
  <si>
    <t>16-09-2024</t>
  </si>
  <si>
    <t>19-06-2024</t>
  </si>
  <si>
    <t>23-05-2024</t>
  </si>
  <si>
    <t>11-09-2024</t>
  </si>
  <si>
    <t>04-05-2024</t>
  </si>
  <si>
    <t>17-05-2024</t>
  </si>
  <si>
    <t>27-06-2024</t>
  </si>
  <si>
    <t>06-02-2024</t>
  </si>
  <si>
    <t>22-02-2024</t>
  </si>
  <si>
    <t>26-10-2024</t>
  </si>
  <si>
    <t>09-01-2024</t>
  </si>
  <si>
    <t>30-03-2024</t>
  </si>
  <si>
    <t>20-03-2024</t>
  </si>
  <si>
    <t>10-11-2024</t>
  </si>
  <si>
    <t>20-11-2024</t>
  </si>
  <si>
    <t>22-05-2024</t>
  </si>
  <si>
    <t>23-06-2024</t>
  </si>
  <si>
    <t>19-07-2024</t>
  </si>
  <si>
    <t>11-08-2024</t>
  </si>
  <si>
    <t>09-08-2024</t>
  </si>
  <si>
    <t>27-12-2024</t>
  </si>
  <si>
    <t>13-12-2024</t>
  </si>
  <si>
    <t>09-02-2024</t>
  </si>
  <si>
    <t>14-08-2024</t>
  </si>
  <si>
    <t>08-01-2024</t>
  </si>
  <si>
    <t>25-06-2024</t>
  </si>
  <si>
    <t>26-12-2024</t>
  </si>
  <si>
    <t>16-12-2024</t>
  </si>
  <si>
    <t>07-07-2024</t>
  </si>
  <si>
    <t>18-11-2024</t>
  </si>
  <si>
    <t>26-02-2024</t>
  </si>
  <si>
    <t>30-04-2024</t>
  </si>
  <si>
    <t>07-04-2024</t>
  </si>
  <si>
    <t>28-06-2024</t>
  </si>
  <si>
    <t>08-07-2024</t>
  </si>
  <si>
    <t>03-01-2024</t>
  </si>
  <si>
    <t>24-12-2024</t>
  </si>
  <si>
    <t>04-06-2024</t>
  </si>
  <si>
    <t>13-06-2024</t>
  </si>
  <si>
    <t>15-04-2024</t>
  </si>
  <si>
    <t>22-03-2024</t>
  </si>
  <si>
    <t>29-12-2024</t>
  </si>
  <si>
    <t>29-11-2024</t>
  </si>
  <si>
    <t>18-05-2024</t>
  </si>
  <si>
    <t>21-09-2024</t>
  </si>
  <si>
    <t>04-01-2024</t>
  </si>
  <si>
    <t>16-01-2024</t>
  </si>
  <si>
    <t>12-12-2024</t>
  </si>
  <si>
    <t>05-10-2024</t>
  </si>
  <si>
    <t>14-06-2024</t>
  </si>
  <si>
    <t>21-03-2024</t>
  </si>
  <si>
    <t>28-07-2024</t>
  </si>
  <si>
    <t>08-12-2024</t>
  </si>
  <si>
    <t>31-10-2024</t>
  </si>
  <si>
    <t>28-11-2024</t>
  </si>
  <si>
    <t>07-06-2024</t>
  </si>
  <si>
    <t>29-02-2024</t>
  </si>
  <si>
    <t>29-05-2024</t>
  </si>
  <si>
    <t>07-10-2024</t>
  </si>
  <si>
    <t>10-03-2024</t>
  </si>
  <si>
    <t>06-09-2024</t>
  </si>
  <si>
    <t>11-02-2024</t>
  </si>
  <si>
    <t>24-02-2024</t>
  </si>
  <si>
    <t>16-04-2024</t>
  </si>
  <si>
    <t>23-11-2024</t>
  </si>
  <si>
    <t>15-03-2024</t>
  </si>
  <si>
    <t>25-10-2024</t>
  </si>
  <si>
    <t>27-08-2024</t>
  </si>
  <si>
    <t>30-07-2024</t>
  </si>
  <si>
    <t>05-08-2024</t>
  </si>
  <si>
    <t>10-07-2024</t>
  </si>
  <si>
    <t>05-02-2024</t>
  </si>
  <si>
    <t>27-10-2024</t>
  </si>
  <si>
    <t>21-06-2024</t>
  </si>
  <si>
    <t>06-04-2024</t>
  </si>
  <si>
    <t>07-11-2024</t>
  </si>
  <si>
    <t>15-05-2024</t>
  </si>
  <si>
    <t>17-06-2024</t>
  </si>
  <si>
    <t>17-07-2024</t>
  </si>
  <si>
    <t>02-04-2024</t>
  </si>
  <si>
    <t>14-03-2024</t>
  </si>
  <si>
    <t>13-08-2024</t>
  </si>
  <si>
    <t>29-07-2024</t>
  </si>
  <si>
    <t>08-05-2024</t>
  </si>
  <si>
    <t>30-06-2024</t>
  </si>
  <si>
    <t>21-04-2024</t>
  </si>
  <si>
    <t>21-07-2024</t>
  </si>
  <si>
    <t>11-06-2024</t>
  </si>
  <si>
    <t>09-06-2024</t>
  </si>
  <si>
    <t>26-06-2024</t>
  </si>
  <si>
    <t>10-01-2024</t>
  </si>
  <si>
    <t>03-11-2024</t>
  </si>
  <si>
    <t>31-07-2024</t>
  </si>
  <si>
    <t>21-02-2024</t>
  </si>
  <si>
    <t>11-05-2024</t>
  </si>
  <si>
    <t>28-05-2024</t>
  </si>
  <si>
    <t>10-04-2024</t>
  </si>
  <si>
    <t>01-09-2024</t>
  </si>
  <si>
    <t>07-05-2024</t>
  </si>
  <si>
    <t>24-10-2024</t>
  </si>
  <si>
    <t>08-10-2024</t>
  </si>
  <si>
    <t>04-10-2024</t>
  </si>
  <si>
    <t>14-09-2024</t>
  </si>
  <si>
    <t>07-01-2024</t>
  </si>
  <si>
    <t>04-08-2024</t>
  </si>
  <si>
    <t>26-09-2024</t>
  </si>
  <si>
    <t>06-07-2024</t>
  </si>
  <si>
    <t>27-07-2024</t>
  </si>
  <si>
    <t>16-08-2024</t>
  </si>
  <si>
    <t>20-06-2024</t>
  </si>
  <si>
    <t>14-11-2024</t>
  </si>
  <si>
    <t>30-09-2024</t>
  </si>
  <si>
    <t>30-10-2024</t>
  </si>
  <si>
    <t>14-12-2024</t>
  </si>
  <si>
    <t>20-08-2024</t>
  </si>
  <si>
    <t>20-05-2024</t>
  </si>
  <si>
    <t>19-05-2024</t>
  </si>
  <si>
    <t>17-01-2024</t>
  </si>
  <si>
    <t>14-01-2024</t>
  </si>
  <si>
    <t>15-07-2024</t>
  </si>
  <si>
    <t>03-06-2024</t>
  </si>
  <si>
    <t>05-07-2024</t>
  </si>
  <si>
    <t>12-10-2024</t>
  </si>
  <si>
    <t>05-01-2024</t>
  </si>
  <si>
    <t>19-10-2024</t>
  </si>
  <si>
    <t>15-12-2024</t>
  </si>
  <si>
    <t>07-09-2024</t>
  </si>
  <si>
    <t>29-03-2024</t>
  </si>
  <si>
    <t>01-01-2024</t>
  </si>
  <si>
    <t>09-07-2024</t>
  </si>
  <si>
    <t>21-11-2024</t>
  </si>
  <si>
    <t>15-01-2024</t>
  </si>
  <si>
    <t>19-08-2024</t>
  </si>
  <si>
    <t>28-01-2024</t>
  </si>
  <si>
    <t>01-06-2024</t>
  </si>
  <si>
    <t>05-05-2024</t>
  </si>
  <si>
    <t>02-05-2024</t>
  </si>
  <si>
    <t>22-11-2024</t>
  </si>
  <si>
    <t>12-08-2024</t>
  </si>
  <si>
    <t>16-10-2024</t>
  </si>
  <si>
    <t>27-11-2024</t>
  </si>
  <si>
    <t>29-08-2024</t>
  </si>
  <si>
    <t>24-03-2024</t>
  </si>
  <si>
    <t>01-05-2024</t>
  </si>
  <si>
    <t>11-07-2024</t>
  </si>
  <si>
    <t>18-07-2024</t>
  </si>
  <si>
    <t>16-05-2024</t>
  </si>
  <si>
    <t>23-08-2024</t>
  </si>
  <si>
    <t>20-10-2024</t>
  </si>
  <si>
    <t>13-01-2024</t>
  </si>
  <si>
    <t>19-12-2024</t>
  </si>
  <si>
    <t>16-11-2024</t>
  </si>
  <si>
    <t>10-05-2024</t>
  </si>
  <si>
    <t>23-12-2024</t>
  </si>
  <si>
    <t>28-02-2024</t>
  </si>
  <si>
    <t>21-10-2024</t>
  </si>
  <si>
    <t>07-08-2024</t>
  </si>
  <si>
    <t>08-11-2024</t>
  </si>
  <si>
    <t>25-01-2024</t>
  </si>
  <si>
    <t>15-06-2024</t>
  </si>
  <si>
    <t>18-08-2024</t>
  </si>
  <si>
    <t>28-12-2024</t>
  </si>
  <si>
    <t>23-02-2024</t>
  </si>
  <si>
    <t>06-08-2024</t>
  </si>
  <si>
    <t>31-12-2024</t>
  </si>
  <si>
    <t>31-08-2024</t>
  </si>
  <si>
    <t>08-09-2024</t>
  </si>
  <si>
    <t>Month</t>
  </si>
  <si>
    <t>Order_Date</t>
  </si>
  <si>
    <t>Row Labels</t>
  </si>
  <si>
    <t>Grand Total</t>
  </si>
  <si>
    <t>Sum of Total Sales</t>
  </si>
  <si>
    <t>Jan</t>
  </si>
  <si>
    <t>Feb</t>
  </si>
  <si>
    <t>Mar</t>
  </si>
  <si>
    <t>Apr</t>
  </si>
  <si>
    <t>May</t>
  </si>
  <si>
    <t>Jun</t>
  </si>
  <si>
    <t>Jul</t>
  </si>
  <si>
    <t>Aug</t>
  </si>
  <si>
    <t>Sep</t>
  </si>
  <si>
    <t>Oct</t>
  </si>
  <si>
    <t>Nov</t>
  </si>
  <si>
    <t>Dec</t>
  </si>
  <si>
    <t>Details for Sum of Total Sales - Product Name: Shoes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</si>
</sst>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F800]dddd\,\ mmmm\ dd\,\ yyyy"/>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7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4">
    <dxf>
      <numFmt numFmtId="19" formatCode="m/d/yyyy"/>
    </dxf>
    <dxf>
      <numFmt numFmtId="0" formatCode="General"/>
    </dxf>
    <dxf>
      <numFmt numFmtId="19" formatCode="m/d/yyyy"/>
    </dxf>
    <dxf>
      <numFmt numFmtId="170" formatCode="[$-F800]dddd\,\ mmmm\ d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Cetegory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Electronics</c:v>
                </c:pt>
              </c:strCache>
            </c:strRef>
          </c:cat>
          <c:val>
            <c:numRef>
              <c:f>Sheet1!$B$4:$B$5</c:f>
              <c:numCache>
                <c:formatCode>General</c:formatCode>
                <c:ptCount val="1"/>
                <c:pt idx="0">
                  <c:v>1557500</c:v>
                </c:pt>
              </c:numCache>
            </c:numRef>
          </c:val>
          <c:extLst>
            <c:ext xmlns:c16="http://schemas.microsoft.com/office/drawing/2014/chart" uri="{C3380CC4-5D6E-409C-BE32-E72D297353CC}">
              <c16:uniqueId val="{00000000-E94E-47A9-8F6A-3E6690F083DC}"/>
            </c:ext>
          </c:extLst>
        </c:ser>
        <c:dLbls>
          <c:showLegendKey val="0"/>
          <c:showVal val="0"/>
          <c:showCatName val="0"/>
          <c:showSerName val="0"/>
          <c:showPercent val="0"/>
          <c:showBubbleSize val="0"/>
        </c:dLbls>
        <c:gapWidth val="182"/>
        <c:axId val="327972095"/>
        <c:axId val="327974015"/>
      </c:barChart>
      <c:catAx>
        <c:axId val="32797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974015"/>
        <c:crosses val="autoZero"/>
        <c:auto val="1"/>
        <c:lblAlgn val="ctr"/>
        <c:lblOffset val="100"/>
        <c:noMultiLvlLbl val="0"/>
      </c:catAx>
      <c:valAx>
        <c:axId val="327974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97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c:f>
              <c:strCache>
                <c:ptCount val="1"/>
                <c:pt idx="0">
                  <c:v>Total</c:v>
                </c:pt>
              </c:strCache>
            </c:strRef>
          </c:tx>
          <c:spPr>
            <a:solidFill>
              <a:schemeClr val="accent1"/>
            </a:solidFill>
            <a:ln>
              <a:noFill/>
            </a:ln>
            <a:effectLst/>
          </c:spPr>
          <c:invertIfNegative val="0"/>
          <c:cat>
            <c:strRef>
              <c:f>Sheet1!$A$14:$A$15</c:f>
              <c:strCache>
                <c:ptCount val="1"/>
                <c:pt idx="0">
                  <c:v>Delhi</c:v>
                </c:pt>
              </c:strCache>
            </c:strRef>
          </c:cat>
          <c:val>
            <c:numRef>
              <c:f>Sheet1!$B$14:$B$15</c:f>
              <c:numCache>
                <c:formatCode>General</c:formatCode>
                <c:ptCount val="1"/>
                <c:pt idx="0">
                  <c:v>1557500</c:v>
                </c:pt>
              </c:numCache>
            </c:numRef>
          </c:val>
          <c:extLst>
            <c:ext xmlns:c16="http://schemas.microsoft.com/office/drawing/2014/chart" uri="{C3380CC4-5D6E-409C-BE32-E72D297353CC}">
              <c16:uniqueId val="{00000000-BAC1-4AF4-ACC4-F0152BA45877}"/>
            </c:ext>
          </c:extLst>
        </c:ser>
        <c:dLbls>
          <c:showLegendKey val="0"/>
          <c:showVal val="0"/>
          <c:showCatName val="0"/>
          <c:showSerName val="0"/>
          <c:showPercent val="0"/>
          <c:showBubbleSize val="0"/>
        </c:dLbls>
        <c:gapWidth val="219"/>
        <c:overlap val="-27"/>
        <c:axId val="335778015"/>
        <c:axId val="335798175"/>
      </c:barChart>
      <c:catAx>
        <c:axId val="33577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98175"/>
        <c:crosses val="autoZero"/>
        <c:auto val="1"/>
        <c:lblAlgn val="ctr"/>
        <c:lblOffset val="100"/>
        <c:noMultiLvlLbl val="0"/>
      </c:catAx>
      <c:valAx>
        <c:axId val="33579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7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Sheet1!$H$13</c:f>
              <c:strCache>
                <c:ptCount val="1"/>
                <c:pt idx="0">
                  <c:v>Total</c:v>
                </c:pt>
              </c:strCache>
            </c:strRef>
          </c:tx>
          <c:spPr>
            <a:ln w="28575" cap="rnd">
              <a:solidFill>
                <a:schemeClr val="accent1"/>
              </a:solidFill>
              <a:round/>
            </a:ln>
            <a:effectLst/>
          </c:spPr>
          <c:marker>
            <c:symbol val="none"/>
          </c:marker>
          <c:cat>
            <c:strRef>
              <c:f>Sheet1!$G$14:$G$22</c:f>
              <c:strCache>
                <c:ptCount val="8"/>
                <c:pt idx="0">
                  <c:v>Jan</c:v>
                </c:pt>
                <c:pt idx="1">
                  <c:v>Feb</c:v>
                </c:pt>
                <c:pt idx="2">
                  <c:v>Mar</c:v>
                </c:pt>
                <c:pt idx="3">
                  <c:v>Apr</c:v>
                </c:pt>
                <c:pt idx="4">
                  <c:v>May</c:v>
                </c:pt>
                <c:pt idx="5">
                  <c:v>Aug</c:v>
                </c:pt>
                <c:pt idx="6">
                  <c:v>Nov</c:v>
                </c:pt>
                <c:pt idx="7">
                  <c:v>Dec</c:v>
                </c:pt>
              </c:strCache>
            </c:strRef>
          </c:cat>
          <c:val>
            <c:numRef>
              <c:f>Sheet1!$H$14:$H$22</c:f>
              <c:numCache>
                <c:formatCode>General</c:formatCode>
                <c:ptCount val="8"/>
                <c:pt idx="0">
                  <c:v>280000</c:v>
                </c:pt>
                <c:pt idx="1">
                  <c:v>80000</c:v>
                </c:pt>
                <c:pt idx="2">
                  <c:v>250000</c:v>
                </c:pt>
                <c:pt idx="3">
                  <c:v>42500</c:v>
                </c:pt>
                <c:pt idx="4">
                  <c:v>395000</c:v>
                </c:pt>
                <c:pt idx="5">
                  <c:v>180000</c:v>
                </c:pt>
                <c:pt idx="6">
                  <c:v>122500</c:v>
                </c:pt>
                <c:pt idx="7">
                  <c:v>207500</c:v>
                </c:pt>
              </c:numCache>
            </c:numRef>
          </c:val>
          <c:smooth val="0"/>
          <c:extLst>
            <c:ext xmlns:c16="http://schemas.microsoft.com/office/drawing/2014/chart" uri="{C3380CC4-5D6E-409C-BE32-E72D297353CC}">
              <c16:uniqueId val="{00000000-661D-42E6-AEAE-FBC177A3FEC5}"/>
            </c:ext>
          </c:extLst>
        </c:ser>
        <c:dLbls>
          <c:showLegendKey val="0"/>
          <c:showVal val="0"/>
          <c:showCatName val="0"/>
          <c:showSerName val="0"/>
          <c:showPercent val="0"/>
          <c:showBubbleSize val="0"/>
        </c:dLbls>
        <c:smooth val="0"/>
        <c:axId val="331457039"/>
        <c:axId val="331458479"/>
      </c:lineChart>
      <c:catAx>
        <c:axId val="3314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58479"/>
        <c:crosses val="autoZero"/>
        <c:auto val="1"/>
        <c:lblAlgn val="ctr"/>
        <c:lblOffset val="100"/>
        <c:noMultiLvlLbl val="0"/>
      </c:catAx>
      <c:valAx>
        <c:axId val="33145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5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Cetegorical</a:t>
            </a:r>
            <a:r>
              <a:rPr lang="en-IN" baseline="0"/>
              <a:t>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Sheet1!$E$13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Sheet1!$D$14:$D$17</c:f>
              <c:strCache>
                <c:ptCount val="3"/>
                <c:pt idx="0">
                  <c:v>Headphones</c:v>
                </c:pt>
                <c:pt idx="1">
                  <c:v>Laptop</c:v>
                </c:pt>
                <c:pt idx="2">
                  <c:v>Phone</c:v>
                </c:pt>
              </c:strCache>
            </c:strRef>
          </c:cat>
          <c:val>
            <c:numRef>
              <c:f>Sheet1!$E$14:$E$17</c:f>
              <c:numCache>
                <c:formatCode>General</c:formatCode>
                <c:ptCount val="3"/>
                <c:pt idx="0">
                  <c:v>77500</c:v>
                </c:pt>
                <c:pt idx="1">
                  <c:v>400000</c:v>
                </c:pt>
                <c:pt idx="2">
                  <c:v>1080000</c:v>
                </c:pt>
              </c:numCache>
            </c:numRef>
          </c:val>
          <c:extLst>
            <c:ext xmlns:c16="http://schemas.microsoft.com/office/drawing/2014/chart" uri="{C3380CC4-5D6E-409C-BE32-E72D297353CC}">
              <c16:uniqueId val="{00000000-4BF8-4049-AE3B-91B5F91CA2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371475</xdr:colOff>
      <xdr:row>1</xdr:row>
      <xdr:rowOff>47625</xdr:rowOff>
    </xdr:from>
    <xdr:to>
      <xdr:col>5</xdr:col>
      <xdr:colOff>990600</xdr:colOff>
      <xdr:row>11</xdr:row>
      <xdr:rowOff>47625</xdr:rowOff>
    </xdr:to>
    <xdr:graphicFrame macro="">
      <xdr:nvGraphicFramePr>
        <xdr:cNvPr id="2" name="Chart 1">
          <a:extLst>
            <a:ext uri="{FF2B5EF4-FFF2-40B4-BE49-F238E27FC236}">
              <a16:creationId xmlns:a16="http://schemas.microsoft.com/office/drawing/2014/main" id="{1191C42F-0D92-FB07-D2D0-B4D75A68C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25</xdr:row>
      <xdr:rowOff>133350</xdr:rowOff>
    </xdr:from>
    <xdr:to>
      <xdr:col>5</xdr:col>
      <xdr:colOff>390525</xdr:colOff>
      <xdr:row>40</xdr:row>
      <xdr:rowOff>19050</xdr:rowOff>
    </xdr:to>
    <xdr:graphicFrame macro="">
      <xdr:nvGraphicFramePr>
        <xdr:cNvPr id="3" name="Chart 2">
          <a:extLst>
            <a:ext uri="{FF2B5EF4-FFF2-40B4-BE49-F238E27FC236}">
              <a16:creationId xmlns:a16="http://schemas.microsoft.com/office/drawing/2014/main" id="{F1209A87-C660-C320-7EFE-39B60056E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1052512</xdr:colOff>
      <xdr:row>28</xdr:row>
      <xdr:rowOff>9525</xdr:rowOff>
    </xdr:from>
    <xdr:to>
      <xdr:col>10</xdr:col>
      <xdr:colOff>681037</xdr:colOff>
      <xdr:row>42</xdr:row>
      <xdr:rowOff>85725</xdr:rowOff>
    </xdr:to>
    <xdr:graphicFrame macro="">
      <xdr:nvGraphicFramePr>
        <xdr:cNvPr id="4" name="Chart 3">
          <a:extLst>
            <a:ext uri="{FF2B5EF4-FFF2-40B4-BE49-F238E27FC236}">
              <a16:creationId xmlns:a16="http://schemas.microsoft.com/office/drawing/2014/main" id="{11EC36C7-514C-63D6-EE21-1C6175467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414337</xdr:colOff>
      <xdr:row>12</xdr:row>
      <xdr:rowOff>123825</xdr:rowOff>
    </xdr:from>
    <xdr:to>
      <xdr:col>7</xdr:col>
      <xdr:colOff>862012</xdr:colOff>
      <xdr:row>27</xdr:row>
      <xdr:rowOff>9525</xdr:rowOff>
    </xdr:to>
    <xdr:graphicFrame macro="">
      <xdr:nvGraphicFramePr>
        <xdr:cNvPr id="5" name="Chart 4">
          <a:extLst>
            <a:ext uri="{FF2B5EF4-FFF2-40B4-BE49-F238E27FC236}">
              <a16:creationId xmlns:a16="http://schemas.microsoft.com/office/drawing/2014/main" id="{6FA8C12B-0713-0EDC-C095-D04DCED22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1009650</xdr:colOff>
      <xdr:row>2</xdr:row>
      <xdr:rowOff>66675</xdr:rowOff>
    </xdr:from>
    <xdr:to>
      <xdr:col>9</xdr:col>
      <xdr:colOff>809625</xdr:colOff>
      <xdr:row>15</xdr:row>
      <xdr:rowOff>114300</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67466E04-C5A6-E6A4-9917-B421FD38147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705725"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228600</xdr:colOff>
      <xdr:row>3</xdr:row>
      <xdr:rowOff>95250</xdr:rowOff>
    </xdr:from>
    <xdr:to>
      <xdr:col>8</xdr:col>
      <xdr:colOff>28575</xdr:colOff>
      <xdr:row>16</xdr:row>
      <xdr:rowOff>142875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8EC1180-80A8-2EDE-0B0B-94AEBB9AF9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48375" y="666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xdr:colOff>
      <xdr:row>7</xdr:row>
      <xdr:rowOff>180975</xdr:rowOff>
    </xdr:from>
    <xdr:to>
      <xdr:col>6</xdr:col>
      <xdr:colOff>695325</xdr:colOff>
      <xdr:row>21</xdr:row>
      <xdr:rowOff>38100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777AD63A-232E-3804-BF94-4E0B3E2E08B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686300" y="1514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4.503368287034" createdVersion="8" refreshedVersion="8" minRefreshableVersion="3" recordCount="600" xr:uid="{C8251FCF-0D02-4679-8221-8792DFBC8E87}">
  <cacheSource type="worksheet">
    <worksheetSource name="Table1"/>
  </cacheSource>
  <cacheFields count="11">
    <cacheField name="Order ID" numFmtId="0">
      <sharedItems containsSemiMixedTypes="0" containsString="0" containsNumber="1" containsInteger="1" minValue="1001" maxValue="1600"/>
    </cacheField>
    <cacheField name="Order Date" numFmtId="170">
      <sharedItems/>
    </cacheField>
    <cacheField name="Customer Name" numFmtId="0">
      <sharedItems count="12">
        <s v="Neha"/>
        <s v="Rohit"/>
        <s v="Raj"/>
        <s v="Karan"/>
        <s v="Meera"/>
        <s v="Vikram"/>
        <s v="Simran"/>
        <s v="Priya"/>
        <s v="Amit"/>
        <s v="Pooja"/>
        <s v="Anjali"/>
        <s v="Sahil"/>
      </sharedItems>
    </cacheField>
    <cacheField name="City" numFmtId="0">
      <sharedItems count="7">
        <s v="Mumbai"/>
        <s v="Delhi"/>
        <s v="Surat"/>
        <s v="Bangalore"/>
        <s v="Jaipur"/>
        <s v="Ahmedabad"/>
        <s v="Pune"/>
      </sharedItems>
    </cacheField>
    <cacheField name="Product Name" numFmtId="0">
      <sharedItems count="8">
        <s v="T-Shirt"/>
        <s v="Shoes"/>
        <s v="Laptop"/>
        <s v="Headphones"/>
        <s v="Phone"/>
        <s v="Bag"/>
        <s v="Watch"/>
        <s v="Jeans"/>
      </sharedItems>
    </cacheField>
    <cacheField name="Category" numFmtId="0">
      <sharedItems count="3">
        <s v="Fashion"/>
        <s v="Electronics"/>
        <s v="Accessories"/>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00" maxValue="50000"/>
    </cacheField>
    <cacheField name="Total Sales" numFmtId="0">
      <sharedItems containsSemiMixedTypes="0" containsString="0" containsNumber="1" containsInteger="1" minValue="800" maxValue="250000"/>
    </cacheField>
    <cacheField name="Order_Date" numFmtId="14">
      <sharedItems containsSemiMixedTypes="0" containsNonDate="0" containsDate="1" containsString="0" minDate="2024-01-01T00:00:00" maxDate="2025-01-01T00:00:00"/>
    </cacheField>
    <cacheField name="Month" numFmtId="0">
      <sharedItems count="12">
        <s v="Mar"/>
        <s v="Oct"/>
        <s v="Sep"/>
        <s v="Jun"/>
        <s v="Aug"/>
        <s v="Jul"/>
        <s v="Dec"/>
        <s v="Apr"/>
        <s v="May"/>
        <s v="Nov"/>
        <s v="Feb"/>
        <s v="Jan"/>
      </sharedItems>
    </cacheField>
  </cacheFields>
  <extLst>
    <ext xmlns:x14="http://schemas.microsoft.com/office/spreadsheetml/2009/9/main" uri="{725AE2AE-9491-48be-B2B4-4EB974FC3084}">
      <x14:pivotCacheDefinition pivotCacheId="601249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001"/>
    <s v="02-03-2024"/>
    <x v="0"/>
    <x v="0"/>
    <x v="0"/>
    <x v="0"/>
    <n v="3"/>
    <n v="800"/>
    <n v="2400"/>
    <d v="2024-03-02T00:00:00"/>
    <x v="0"/>
  </r>
  <r>
    <n v="1002"/>
    <s v="09-10-2024"/>
    <x v="1"/>
    <x v="1"/>
    <x v="1"/>
    <x v="0"/>
    <n v="2"/>
    <n v="3000"/>
    <n v="6000"/>
    <d v="2024-10-09T00:00:00"/>
    <x v="1"/>
  </r>
  <r>
    <n v="1003"/>
    <s v="02-10-2024"/>
    <x v="2"/>
    <x v="2"/>
    <x v="2"/>
    <x v="1"/>
    <n v="2"/>
    <n v="50000"/>
    <n v="100000"/>
    <d v="2024-10-02T00:00:00"/>
    <x v="1"/>
  </r>
  <r>
    <n v="1004"/>
    <s v="28-09-2024"/>
    <x v="3"/>
    <x v="3"/>
    <x v="3"/>
    <x v="1"/>
    <n v="1"/>
    <n v="2500"/>
    <n v="2500"/>
    <d v="2024-09-28T00:00:00"/>
    <x v="2"/>
  </r>
  <r>
    <n v="1005"/>
    <s v="22-06-2024"/>
    <x v="4"/>
    <x v="3"/>
    <x v="2"/>
    <x v="1"/>
    <n v="2"/>
    <n v="50000"/>
    <n v="100000"/>
    <d v="2024-06-22T00:00:00"/>
    <x v="3"/>
  </r>
  <r>
    <n v="1006"/>
    <s v="15-08-2024"/>
    <x v="5"/>
    <x v="0"/>
    <x v="1"/>
    <x v="0"/>
    <n v="1"/>
    <n v="3000"/>
    <n v="3000"/>
    <d v="2024-08-15T00:00:00"/>
    <x v="4"/>
  </r>
  <r>
    <n v="1007"/>
    <s v="13-07-2024"/>
    <x v="6"/>
    <x v="4"/>
    <x v="2"/>
    <x v="1"/>
    <n v="5"/>
    <n v="50000"/>
    <n v="250000"/>
    <d v="2024-07-13T00:00:00"/>
    <x v="5"/>
  </r>
  <r>
    <n v="1008"/>
    <s v="04-03-2024"/>
    <x v="5"/>
    <x v="1"/>
    <x v="4"/>
    <x v="1"/>
    <n v="3"/>
    <n v="20000"/>
    <n v="60000"/>
    <d v="2024-03-04T00:00:00"/>
    <x v="0"/>
  </r>
  <r>
    <n v="1009"/>
    <s v="01-12-2024"/>
    <x v="5"/>
    <x v="3"/>
    <x v="1"/>
    <x v="0"/>
    <n v="4"/>
    <n v="3000"/>
    <n v="12000"/>
    <d v="2024-12-01T00:00:00"/>
    <x v="6"/>
  </r>
  <r>
    <n v="1010"/>
    <s v="26-04-2024"/>
    <x v="7"/>
    <x v="5"/>
    <x v="2"/>
    <x v="1"/>
    <n v="1"/>
    <n v="50000"/>
    <n v="50000"/>
    <d v="2024-04-26T00:00:00"/>
    <x v="7"/>
  </r>
  <r>
    <n v="1011"/>
    <s v="18-10-2024"/>
    <x v="5"/>
    <x v="2"/>
    <x v="3"/>
    <x v="1"/>
    <n v="2"/>
    <n v="2500"/>
    <n v="5000"/>
    <d v="2024-10-18T00:00:00"/>
    <x v="1"/>
  </r>
  <r>
    <n v="1012"/>
    <s v="13-05-2024"/>
    <x v="8"/>
    <x v="0"/>
    <x v="3"/>
    <x v="1"/>
    <n v="3"/>
    <n v="2500"/>
    <n v="7500"/>
    <d v="2024-05-13T00:00:00"/>
    <x v="8"/>
  </r>
  <r>
    <n v="1013"/>
    <s v="26-04-2024"/>
    <x v="1"/>
    <x v="0"/>
    <x v="5"/>
    <x v="2"/>
    <n v="4"/>
    <n v="1500"/>
    <n v="6000"/>
    <d v="2024-04-26T00:00:00"/>
    <x v="7"/>
  </r>
  <r>
    <n v="1014"/>
    <s v="06-10-2024"/>
    <x v="0"/>
    <x v="5"/>
    <x v="0"/>
    <x v="0"/>
    <n v="4"/>
    <n v="800"/>
    <n v="3200"/>
    <d v="2024-10-06T00:00:00"/>
    <x v="1"/>
  </r>
  <r>
    <n v="1015"/>
    <s v="06-11-2024"/>
    <x v="2"/>
    <x v="6"/>
    <x v="6"/>
    <x v="2"/>
    <n v="5"/>
    <n v="5000"/>
    <n v="25000"/>
    <d v="2024-11-06T00:00:00"/>
    <x v="9"/>
  </r>
  <r>
    <n v="1016"/>
    <s v="01-08-2024"/>
    <x v="9"/>
    <x v="1"/>
    <x v="7"/>
    <x v="0"/>
    <n v="3"/>
    <n v="2000"/>
    <n v="6000"/>
    <d v="2024-08-01T00:00:00"/>
    <x v="4"/>
  </r>
  <r>
    <n v="1017"/>
    <s v="12-04-2024"/>
    <x v="10"/>
    <x v="3"/>
    <x v="6"/>
    <x v="2"/>
    <n v="1"/>
    <n v="5000"/>
    <n v="5000"/>
    <d v="2024-04-12T00:00:00"/>
    <x v="7"/>
  </r>
  <r>
    <n v="1018"/>
    <s v="05-03-2024"/>
    <x v="0"/>
    <x v="4"/>
    <x v="6"/>
    <x v="2"/>
    <n v="4"/>
    <n v="5000"/>
    <n v="20000"/>
    <d v="2024-03-05T00:00:00"/>
    <x v="0"/>
  </r>
  <r>
    <n v="1019"/>
    <s v="12-02-2024"/>
    <x v="10"/>
    <x v="0"/>
    <x v="6"/>
    <x v="2"/>
    <n v="4"/>
    <n v="5000"/>
    <n v="20000"/>
    <d v="2024-02-12T00:00:00"/>
    <x v="10"/>
  </r>
  <r>
    <n v="1020"/>
    <s v="14-02-2024"/>
    <x v="11"/>
    <x v="4"/>
    <x v="3"/>
    <x v="1"/>
    <n v="5"/>
    <n v="2500"/>
    <n v="12500"/>
    <d v="2024-02-14T00:00:00"/>
    <x v="10"/>
  </r>
  <r>
    <n v="1021"/>
    <s v="25-04-2024"/>
    <x v="5"/>
    <x v="5"/>
    <x v="2"/>
    <x v="1"/>
    <n v="4"/>
    <n v="50000"/>
    <n v="200000"/>
    <d v="2024-04-25T00:00:00"/>
    <x v="7"/>
  </r>
  <r>
    <n v="1022"/>
    <s v="25-12-2024"/>
    <x v="11"/>
    <x v="3"/>
    <x v="5"/>
    <x v="2"/>
    <n v="4"/>
    <n v="1500"/>
    <n v="6000"/>
    <d v="2024-12-25T00:00:00"/>
    <x v="6"/>
  </r>
  <r>
    <n v="1023"/>
    <s v="15-10-2024"/>
    <x v="5"/>
    <x v="3"/>
    <x v="1"/>
    <x v="0"/>
    <n v="4"/>
    <n v="3000"/>
    <n v="12000"/>
    <d v="2024-10-15T00:00:00"/>
    <x v="1"/>
  </r>
  <r>
    <n v="1024"/>
    <s v="29-06-2024"/>
    <x v="5"/>
    <x v="6"/>
    <x v="7"/>
    <x v="0"/>
    <n v="1"/>
    <n v="2000"/>
    <n v="2000"/>
    <d v="2024-06-29T00:00:00"/>
    <x v="3"/>
  </r>
  <r>
    <n v="1025"/>
    <s v="30-01-2024"/>
    <x v="10"/>
    <x v="4"/>
    <x v="4"/>
    <x v="1"/>
    <n v="4"/>
    <n v="20000"/>
    <n v="80000"/>
    <d v="2024-01-30T00:00:00"/>
    <x v="11"/>
  </r>
  <r>
    <n v="1026"/>
    <s v="16-06-2024"/>
    <x v="4"/>
    <x v="1"/>
    <x v="1"/>
    <x v="0"/>
    <n v="2"/>
    <n v="3000"/>
    <n v="6000"/>
    <d v="2024-06-16T00:00:00"/>
    <x v="3"/>
  </r>
  <r>
    <n v="1027"/>
    <s v="02-09-2024"/>
    <x v="11"/>
    <x v="6"/>
    <x v="5"/>
    <x v="2"/>
    <n v="3"/>
    <n v="1500"/>
    <n v="4500"/>
    <d v="2024-09-02T00:00:00"/>
    <x v="2"/>
  </r>
  <r>
    <n v="1028"/>
    <s v="25-08-2024"/>
    <x v="9"/>
    <x v="4"/>
    <x v="4"/>
    <x v="1"/>
    <n v="1"/>
    <n v="20000"/>
    <n v="20000"/>
    <d v="2024-08-25T00:00:00"/>
    <x v="4"/>
  </r>
  <r>
    <n v="1029"/>
    <s v="03-10-2024"/>
    <x v="3"/>
    <x v="0"/>
    <x v="4"/>
    <x v="1"/>
    <n v="3"/>
    <n v="20000"/>
    <n v="60000"/>
    <d v="2024-10-03T00:00:00"/>
    <x v="1"/>
  </r>
  <r>
    <n v="1030"/>
    <s v="15-09-2024"/>
    <x v="4"/>
    <x v="5"/>
    <x v="1"/>
    <x v="0"/>
    <n v="1"/>
    <n v="3000"/>
    <n v="3000"/>
    <d v="2024-09-15T00:00:00"/>
    <x v="2"/>
  </r>
  <r>
    <n v="1031"/>
    <s v="10-02-2024"/>
    <x v="2"/>
    <x v="5"/>
    <x v="0"/>
    <x v="0"/>
    <n v="2"/>
    <n v="800"/>
    <n v="1600"/>
    <d v="2024-02-10T00:00:00"/>
    <x v="10"/>
  </r>
  <r>
    <n v="1032"/>
    <s v="24-06-2024"/>
    <x v="11"/>
    <x v="5"/>
    <x v="4"/>
    <x v="1"/>
    <n v="2"/>
    <n v="20000"/>
    <n v="40000"/>
    <d v="2024-06-24T00:00:00"/>
    <x v="3"/>
  </r>
  <r>
    <n v="1033"/>
    <s v="03-09-2024"/>
    <x v="1"/>
    <x v="1"/>
    <x v="6"/>
    <x v="2"/>
    <n v="5"/>
    <n v="5000"/>
    <n v="25000"/>
    <d v="2024-09-03T00:00:00"/>
    <x v="2"/>
  </r>
  <r>
    <n v="1034"/>
    <s v="25-04-2024"/>
    <x v="11"/>
    <x v="6"/>
    <x v="0"/>
    <x v="0"/>
    <n v="2"/>
    <n v="800"/>
    <n v="1600"/>
    <d v="2024-04-25T00:00:00"/>
    <x v="7"/>
  </r>
  <r>
    <n v="1035"/>
    <s v="18-12-2024"/>
    <x v="2"/>
    <x v="1"/>
    <x v="3"/>
    <x v="1"/>
    <n v="1"/>
    <n v="2500"/>
    <n v="2500"/>
    <d v="2024-12-18T00:00:00"/>
    <x v="6"/>
  </r>
  <r>
    <n v="1036"/>
    <s v="29-04-2024"/>
    <x v="2"/>
    <x v="1"/>
    <x v="4"/>
    <x v="1"/>
    <n v="1"/>
    <n v="20000"/>
    <n v="20000"/>
    <d v="2024-04-29T00:00:00"/>
    <x v="7"/>
  </r>
  <r>
    <n v="1037"/>
    <s v="24-09-2024"/>
    <x v="2"/>
    <x v="6"/>
    <x v="1"/>
    <x v="0"/>
    <n v="5"/>
    <n v="3000"/>
    <n v="15000"/>
    <d v="2024-09-24T00:00:00"/>
    <x v="2"/>
  </r>
  <r>
    <n v="1038"/>
    <s v="12-11-2024"/>
    <x v="4"/>
    <x v="3"/>
    <x v="7"/>
    <x v="0"/>
    <n v="5"/>
    <n v="2000"/>
    <n v="10000"/>
    <d v="2024-11-12T00:00:00"/>
    <x v="9"/>
  </r>
  <r>
    <n v="1039"/>
    <s v="17-09-2024"/>
    <x v="11"/>
    <x v="2"/>
    <x v="2"/>
    <x v="1"/>
    <n v="4"/>
    <n v="50000"/>
    <n v="200000"/>
    <d v="2024-09-17T00:00:00"/>
    <x v="2"/>
  </r>
  <r>
    <n v="1040"/>
    <s v="22-01-2024"/>
    <x v="4"/>
    <x v="2"/>
    <x v="2"/>
    <x v="1"/>
    <n v="5"/>
    <n v="50000"/>
    <n v="250000"/>
    <d v="2024-01-22T00:00:00"/>
    <x v="11"/>
  </r>
  <r>
    <n v="1041"/>
    <s v="02-08-2024"/>
    <x v="4"/>
    <x v="5"/>
    <x v="3"/>
    <x v="1"/>
    <n v="1"/>
    <n v="2500"/>
    <n v="2500"/>
    <d v="2024-08-02T00:00:00"/>
    <x v="4"/>
  </r>
  <r>
    <n v="1042"/>
    <s v="16-02-2024"/>
    <x v="4"/>
    <x v="0"/>
    <x v="0"/>
    <x v="0"/>
    <n v="4"/>
    <n v="800"/>
    <n v="3200"/>
    <d v="2024-02-16T00:00:00"/>
    <x v="10"/>
  </r>
  <r>
    <n v="1043"/>
    <s v="01-10-2024"/>
    <x v="10"/>
    <x v="6"/>
    <x v="0"/>
    <x v="0"/>
    <n v="5"/>
    <n v="800"/>
    <n v="4000"/>
    <d v="2024-10-01T00:00:00"/>
    <x v="1"/>
  </r>
  <r>
    <n v="1044"/>
    <s v="02-12-2024"/>
    <x v="0"/>
    <x v="0"/>
    <x v="6"/>
    <x v="2"/>
    <n v="4"/>
    <n v="5000"/>
    <n v="20000"/>
    <d v="2024-12-02T00:00:00"/>
    <x v="6"/>
  </r>
  <r>
    <n v="1045"/>
    <s v="06-06-2024"/>
    <x v="6"/>
    <x v="4"/>
    <x v="2"/>
    <x v="1"/>
    <n v="1"/>
    <n v="50000"/>
    <n v="50000"/>
    <d v="2024-06-06T00:00:00"/>
    <x v="3"/>
  </r>
  <r>
    <n v="1046"/>
    <s v="10-08-2024"/>
    <x v="4"/>
    <x v="1"/>
    <x v="7"/>
    <x v="0"/>
    <n v="5"/>
    <n v="2000"/>
    <n v="10000"/>
    <d v="2024-08-10T00:00:00"/>
    <x v="4"/>
  </r>
  <r>
    <n v="1047"/>
    <s v="05-11-2024"/>
    <x v="9"/>
    <x v="6"/>
    <x v="1"/>
    <x v="0"/>
    <n v="4"/>
    <n v="3000"/>
    <n v="12000"/>
    <d v="2024-11-05T00:00:00"/>
    <x v="9"/>
  </r>
  <r>
    <n v="1048"/>
    <s v="25-11-2024"/>
    <x v="3"/>
    <x v="2"/>
    <x v="0"/>
    <x v="0"/>
    <n v="5"/>
    <n v="800"/>
    <n v="4000"/>
    <d v="2024-11-25T00:00:00"/>
    <x v="9"/>
  </r>
  <r>
    <n v="1049"/>
    <s v="04-11-2024"/>
    <x v="7"/>
    <x v="1"/>
    <x v="5"/>
    <x v="2"/>
    <n v="3"/>
    <n v="1500"/>
    <n v="4500"/>
    <d v="2024-11-04T00:00:00"/>
    <x v="9"/>
  </r>
  <r>
    <n v="1050"/>
    <s v="14-10-2024"/>
    <x v="2"/>
    <x v="1"/>
    <x v="0"/>
    <x v="0"/>
    <n v="2"/>
    <n v="800"/>
    <n v="1600"/>
    <d v="2024-10-14T00:00:00"/>
    <x v="1"/>
  </r>
  <r>
    <n v="1051"/>
    <s v="01-03-2024"/>
    <x v="4"/>
    <x v="5"/>
    <x v="4"/>
    <x v="1"/>
    <n v="1"/>
    <n v="20000"/>
    <n v="20000"/>
    <d v="2024-03-01T00:00:00"/>
    <x v="0"/>
  </r>
  <r>
    <n v="1052"/>
    <s v="21-12-2024"/>
    <x v="10"/>
    <x v="4"/>
    <x v="7"/>
    <x v="0"/>
    <n v="4"/>
    <n v="2000"/>
    <n v="8000"/>
    <d v="2024-12-21T00:00:00"/>
    <x v="6"/>
  </r>
  <r>
    <n v="1053"/>
    <s v="24-05-2024"/>
    <x v="11"/>
    <x v="0"/>
    <x v="0"/>
    <x v="0"/>
    <n v="1"/>
    <n v="800"/>
    <n v="800"/>
    <d v="2024-05-24T00:00:00"/>
    <x v="8"/>
  </r>
  <r>
    <n v="1054"/>
    <s v="02-06-2024"/>
    <x v="4"/>
    <x v="5"/>
    <x v="4"/>
    <x v="1"/>
    <n v="4"/>
    <n v="20000"/>
    <n v="80000"/>
    <d v="2024-06-02T00:00:00"/>
    <x v="3"/>
  </r>
  <r>
    <n v="1055"/>
    <s v="18-01-2024"/>
    <x v="4"/>
    <x v="3"/>
    <x v="6"/>
    <x v="2"/>
    <n v="3"/>
    <n v="5000"/>
    <n v="15000"/>
    <d v="2024-01-18T00:00:00"/>
    <x v="11"/>
  </r>
  <r>
    <n v="1056"/>
    <s v="23-04-2024"/>
    <x v="11"/>
    <x v="0"/>
    <x v="2"/>
    <x v="1"/>
    <n v="5"/>
    <n v="50000"/>
    <n v="250000"/>
    <d v="2024-04-23T00:00:00"/>
    <x v="7"/>
  </r>
  <r>
    <n v="1057"/>
    <s v="22-04-2024"/>
    <x v="5"/>
    <x v="1"/>
    <x v="1"/>
    <x v="0"/>
    <n v="2"/>
    <n v="3000"/>
    <n v="6000"/>
    <d v="2024-04-22T00:00:00"/>
    <x v="7"/>
  </r>
  <r>
    <n v="1058"/>
    <s v="18-09-2024"/>
    <x v="3"/>
    <x v="4"/>
    <x v="6"/>
    <x v="2"/>
    <n v="4"/>
    <n v="5000"/>
    <n v="20000"/>
    <d v="2024-09-18T00:00:00"/>
    <x v="2"/>
  </r>
  <r>
    <n v="1059"/>
    <s v="09-10-2024"/>
    <x v="2"/>
    <x v="0"/>
    <x v="7"/>
    <x v="0"/>
    <n v="3"/>
    <n v="2000"/>
    <n v="6000"/>
    <d v="2024-10-09T00:00:00"/>
    <x v="1"/>
  </r>
  <r>
    <n v="1060"/>
    <s v="10-09-2024"/>
    <x v="8"/>
    <x v="4"/>
    <x v="7"/>
    <x v="0"/>
    <n v="5"/>
    <n v="2000"/>
    <n v="10000"/>
    <d v="2024-09-10T00:00:00"/>
    <x v="2"/>
  </r>
  <r>
    <n v="1061"/>
    <s v="06-10-2024"/>
    <x v="4"/>
    <x v="1"/>
    <x v="7"/>
    <x v="0"/>
    <n v="3"/>
    <n v="2000"/>
    <n v="6000"/>
    <d v="2024-10-06T00:00:00"/>
    <x v="1"/>
  </r>
  <r>
    <n v="1062"/>
    <s v="22-12-2024"/>
    <x v="2"/>
    <x v="5"/>
    <x v="3"/>
    <x v="1"/>
    <n v="3"/>
    <n v="2500"/>
    <n v="7500"/>
    <d v="2024-12-22T00:00:00"/>
    <x v="6"/>
  </r>
  <r>
    <n v="1063"/>
    <s v="20-01-2024"/>
    <x v="6"/>
    <x v="1"/>
    <x v="4"/>
    <x v="1"/>
    <n v="5"/>
    <n v="20000"/>
    <n v="100000"/>
    <d v="2024-01-20T00:00:00"/>
    <x v="11"/>
  </r>
  <r>
    <n v="1064"/>
    <s v="08-06-2024"/>
    <x v="2"/>
    <x v="4"/>
    <x v="4"/>
    <x v="1"/>
    <n v="1"/>
    <n v="20000"/>
    <n v="20000"/>
    <d v="2024-06-08T00:00:00"/>
    <x v="3"/>
  </r>
  <r>
    <n v="1065"/>
    <s v="01-02-2024"/>
    <x v="5"/>
    <x v="3"/>
    <x v="1"/>
    <x v="0"/>
    <n v="1"/>
    <n v="3000"/>
    <n v="3000"/>
    <d v="2024-02-01T00:00:00"/>
    <x v="10"/>
  </r>
  <r>
    <n v="1066"/>
    <s v="13-04-2024"/>
    <x v="7"/>
    <x v="6"/>
    <x v="5"/>
    <x v="2"/>
    <n v="5"/>
    <n v="1500"/>
    <n v="7500"/>
    <d v="2024-04-13T00:00:00"/>
    <x v="7"/>
  </r>
  <r>
    <n v="1067"/>
    <s v="29-09-2024"/>
    <x v="4"/>
    <x v="4"/>
    <x v="2"/>
    <x v="1"/>
    <n v="4"/>
    <n v="50000"/>
    <n v="200000"/>
    <d v="2024-09-29T00:00:00"/>
    <x v="2"/>
  </r>
  <r>
    <n v="1068"/>
    <s v="30-12-2024"/>
    <x v="3"/>
    <x v="1"/>
    <x v="7"/>
    <x v="0"/>
    <n v="4"/>
    <n v="2000"/>
    <n v="8000"/>
    <d v="2024-12-30T00:00:00"/>
    <x v="6"/>
  </r>
  <r>
    <n v="1069"/>
    <s v="05-12-2024"/>
    <x v="10"/>
    <x v="5"/>
    <x v="2"/>
    <x v="1"/>
    <n v="3"/>
    <n v="50000"/>
    <n v="150000"/>
    <d v="2024-12-05T00:00:00"/>
    <x v="6"/>
  </r>
  <r>
    <n v="1070"/>
    <s v="05-09-2024"/>
    <x v="0"/>
    <x v="5"/>
    <x v="3"/>
    <x v="1"/>
    <n v="5"/>
    <n v="2500"/>
    <n v="12500"/>
    <d v="2024-09-05T00:00:00"/>
    <x v="2"/>
  </r>
  <r>
    <n v="1071"/>
    <s v="18-06-2024"/>
    <x v="9"/>
    <x v="2"/>
    <x v="5"/>
    <x v="2"/>
    <n v="4"/>
    <n v="1500"/>
    <n v="6000"/>
    <d v="2024-06-18T00:00:00"/>
    <x v="3"/>
  </r>
  <r>
    <n v="1072"/>
    <s v="05-03-2024"/>
    <x v="9"/>
    <x v="2"/>
    <x v="5"/>
    <x v="2"/>
    <n v="4"/>
    <n v="1500"/>
    <n v="6000"/>
    <d v="2024-03-05T00:00:00"/>
    <x v="0"/>
  </r>
  <r>
    <n v="1073"/>
    <s v="04-02-2024"/>
    <x v="2"/>
    <x v="0"/>
    <x v="7"/>
    <x v="0"/>
    <n v="4"/>
    <n v="2000"/>
    <n v="8000"/>
    <d v="2024-02-04T00:00:00"/>
    <x v="10"/>
  </r>
  <r>
    <n v="1074"/>
    <s v="30-01-2024"/>
    <x v="0"/>
    <x v="6"/>
    <x v="5"/>
    <x v="2"/>
    <n v="2"/>
    <n v="1500"/>
    <n v="3000"/>
    <d v="2024-01-30T00:00:00"/>
    <x v="11"/>
  </r>
  <r>
    <n v="1075"/>
    <s v="04-09-2024"/>
    <x v="7"/>
    <x v="0"/>
    <x v="4"/>
    <x v="1"/>
    <n v="1"/>
    <n v="20000"/>
    <n v="20000"/>
    <d v="2024-09-04T00:00:00"/>
    <x v="2"/>
  </r>
  <r>
    <n v="1076"/>
    <s v="04-03-2024"/>
    <x v="1"/>
    <x v="4"/>
    <x v="3"/>
    <x v="1"/>
    <n v="3"/>
    <n v="2500"/>
    <n v="7500"/>
    <d v="2024-03-04T00:00:00"/>
    <x v="0"/>
  </r>
  <r>
    <n v="1077"/>
    <s v="31-05-2024"/>
    <x v="8"/>
    <x v="2"/>
    <x v="3"/>
    <x v="1"/>
    <n v="1"/>
    <n v="2500"/>
    <n v="2500"/>
    <d v="2024-05-31T00:00:00"/>
    <x v="8"/>
  </r>
  <r>
    <n v="1078"/>
    <s v="08-02-2024"/>
    <x v="5"/>
    <x v="5"/>
    <x v="3"/>
    <x v="1"/>
    <n v="1"/>
    <n v="2500"/>
    <n v="2500"/>
    <d v="2024-02-08T00:00:00"/>
    <x v="10"/>
  </r>
  <r>
    <n v="1079"/>
    <s v="10-06-2024"/>
    <x v="8"/>
    <x v="5"/>
    <x v="7"/>
    <x v="0"/>
    <n v="3"/>
    <n v="2000"/>
    <n v="6000"/>
    <d v="2024-06-10T00:00:00"/>
    <x v="3"/>
  </r>
  <r>
    <n v="1080"/>
    <s v="06-01-2024"/>
    <x v="4"/>
    <x v="5"/>
    <x v="1"/>
    <x v="0"/>
    <n v="2"/>
    <n v="3000"/>
    <n v="6000"/>
    <d v="2024-01-06T00:00:00"/>
    <x v="11"/>
  </r>
  <r>
    <n v="1081"/>
    <s v="05-11-2024"/>
    <x v="9"/>
    <x v="5"/>
    <x v="7"/>
    <x v="0"/>
    <n v="5"/>
    <n v="2000"/>
    <n v="10000"/>
    <d v="2024-11-05T00:00:00"/>
    <x v="9"/>
  </r>
  <r>
    <n v="1082"/>
    <s v="11-04-2024"/>
    <x v="11"/>
    <x v="6"/>
    <x v="2"/>
    <x v="1"/>
    <n v="1"/>
    <n v="50000"/>
    <n v="50000"/>
    <d v="2024-04-11T00:00:00"/>
    <x v="7"/>
  </r>
  <r>
    <n v="1083"/>
    <s v="10-10-2024"/>
    <x v="4"/>
    <x v="4"/>
    <x v="4"/>
    <x v="1"/>
    <n v="5"/>
    <n v="20000"/>
    <n v="100000"/>
    <d v="2024-10-10T00:00:00"/>
    <x v="1"/>
  </r>
  <r>
    <n v="1084"/>
    <s v="21-08-2024"/>
    <x v="7"/>
    <x v="4"/>
    <x v="5"/>
    <x v="2"/>
    <n v="5"/>
    <n v="1500"/>
    <n v="7500"/>
    <d v="2024-08-21T00:00:00"/>
    <x v="4"/>
  </r>
  <r>
    <n v="1085"/>
    <s v="09-11-2024"/>
    <x v="6"/>
    <x v="2"/>
    <x v="3"/>
    <x v="1"/>
    <n v="5"/>
    <n v="2500"/>
    <n v="12500"/>
    <d v="2024-11-09T00:00:00"/>
    <x v="9"/>
  </r>
  <r>
    <n v="1086"/>
    <s v="26-03-2024"/>
    <x v="6"/>
    <x v="3"/>
    <x v="4"/>
    <x v="1"/>
    <n v="1"/>
    <n v="20000"/>
    <n v="20000"/>
    <d v="2024-03-26T00:00:00"/>
    <x v="0"/>
  </r>
  <r>
    <n v="1087"/>
    <s v="17-02-2024"/>
    <x v="8"/>
    <x v="2"/>
    <x v="3"/>
    <x v="1"/>
    <n v="2"/>
    <n v="2500"/>
    <n v="5000"/>
    <d v="2024-02-17T00:00:00"/>
    <x v="10"/>
  </r>
  <r>
    <n v="1088"/>
    <s v="01-04-2024"/>
    <x v="9"/>
    <x v="0"/>
    <x v="1"/>
    <x v="0"/>
    <n v="5"/>
    <n v="3000"/>
    <n v="15000"/>
    <d v="2024-04-01T00:00:00"/>
    <x v="7"/>
  </r>
  <r>
    <n v="1089"/>
    <s v="24-11-2024"/>
    <x v="1"/>
    <x v="4"/>
    <x v="7"/>
    <x v="0"/>
    <n v="3"/>
    <n v="2000"/>
    <n v="6000"/>
    <d v="2024-11-24T00:00:00"/>
    <x v="9"/>
  </r>
  <r>
    <n v="1090"/>
    <s v="18-03-2024"/>
    <x v="3"/>
    <x v="2"/>
    <x v="6"/>
    <x v="2"/>
    <n v="4"/>
    <n v="5000"/>
    <n v="20000"/>
    <d v="2024-03-18T00:00:00"/>
    <x v="0"/>
  </r>
  <r>
    <n v="1091"/>
    <s v="26-07-2024"/>
    <x v="9"/>
    <x v="6"/>
    <x v="7"/>
    <x v="0"/>
    <n v="2"/>
    <n v="2000"/>
    <n v="4000"/>
    <d v="2024-07-26T00:00:00"/>
    <x v="5"/>
  </r>
  <r>
    <n v="1092"/>
    <s v="25-07-2024"/>
    <x v="7"/>
    <x v="2"/>
    <x v="5"/>
    <x v="2"/>
    <n v="3"/>
    <n v="1500"/>
    <n v="4500"/>
    <d v="2024-07-25T00:00:00"/>
    <x v="5"/>
  </r>
  <r>
    <n v="1093"/>
    <s v="30-08-2024"/>
    <x v="4"/>
    <x v="5"/>
    <x v="7"/>
    <x v="0"/>
    <n v="3"/>
    <n v="2000"/>
    <n v="6000"/>
    <d v="2024-08-30T00:00:00"/>
    <x v="4"/>
  </r>
  <r>
    <n v="1094"/>
    <s v="11-01-2024"/>
    <x v="0"/>
    <x v="3"/>
    <x v="2"/>
    <x v="1"/>
    <n v="5"/>
    <n v="50000"/>
    <n v="250000"/>
    <d v="2024-01-11T00:00:00"/>
    <x v="11"/>
  </r>
  <r>
    <n v="1095"/>
    <s v="02-11-2024"/>
    <x v="2"/>
    <x v="1"/>
    <x v="4"/>
    <x v="1"/>
    <n v="2"/>
    <n v="20000"/>
    <n v="40000"/>
    <d v="2024-11-02T00:00:00"/>
    <x v="9"/>
  </r>
  <r>
    <n v="1096"/>
    <s v="11-10-2024"/>
    <x v="7"/>
    <x v="4"/>
    <x v="5"/>
    <x v="2"/>
    <n v="4"/>
    <n v="1500"/>
    <n v="6000"/>
    <d v="2024-10-11T00:00:00"/>
    <x v="1"/>
  </r>
  <r>
    <n v="1097"/>
    <s v="05-04-2024"/>
    <x v="9"/>
    <x v="6"/>
    <x v="1"/>
    <x v="0"/>
    <n v="4"/>
    <n v="3000"/>
    <n v="12000"/>
    <d v="2024-04-05T00:00:00"/>
    <x v="7"/>
  </r>
  <r>
    <n v="1098"/>
    <s v="07-02-2024"/>
    <x v="11"/>
    <x v="5"/>
    <x v="4"/>
    <x v="1"/>
    <n v="4"/>
    <n v="20000"/>
    <n v="80000"/>
    <d v="2024-02-07T00:00:00"/>
    <x v="10"/>
  </r>
  <r>
    <n v="1099"/>
    <s v="18-02-2024"/>
    <x v="11"/>
    <x v="4"/>
    <x v="2"/>
    <x v="1"/>
    <n v="5"/>
    <n v="50000"/>
    <n v="250000"/>
    <d v="2024-02-18T00:00:00"/>
    <x v="10"/>
  </r>
  <r>
    <n v="1100"/>
    <s v="07-12-2024"/>
    <x v="4"/>
    <x v="1"/>
    <x v="3"/>
    <x v="1"/>
    <n v="2"/>
    <n v="2500"/>
    <n v="5000"/>
    <d v="2024-12-07T00:00:00"/>
    <x v="6"/>
  </r>
  <r>
    <n v="1101"/>
    <s v="27-03-2024"/>
    <x v="1"/>
    <x v="2"/>
    <x v="5"/>
    <x v="2"/>
    <n v="3"/>
    <n v="1500"/>
    <n v="4500"/>
    <d v="2024-03-27T00:00:00"/>
    <x v="0"/>
  </r>
  <r>
    <n v="1102"/>
    <s v="06-03-2024"/>
    <x v="3"/>
    <x v="5"/>
    <x v="2"/>
    <x v="1"/>
    <n v="1"/>
    <n v="50000"/>
    <n v="50000"/>
    <d v="2024-03-06T00:00:00"/>
    <x v="0"/>
  </r>
  <r>
    <n v="1103"/>
    <s v="23-07-2024"/>
    <x v="2"/>
    <x v="0"/>
    <x v="4"/>
    <x v="1"/>
    <n v="2"/>
    <n v="20000"/>
    <n v="40000"/>
    <d v="2024-07-23T00:00:00"/>
    <x v="5"/>
  </r>
  <r>
    <n v="1104"/>
    <s v="20-09-2024"/>
    <x v="11"/>
    <x v="2"/>
    <x v="4"/>
    <x v="1"/>
    <n v="5"/>
    <n v="20000"/>
    <n v="100000"/>
    <d v="2024-09-20T00:00:00"/>
    <x v="2"/>
  </r>
  <r>
    <n v="1105"/>
    <s v="08-04-2024"/>
    <x v="9"/>
    <x v="6"/>
    <x v="3"/>
    <x v="1"/>
    <n v="4"/>
    <n v="2500"/>
    <n v="10000"/>
    <d v="2024-04-08T00:00:00"/>
    <x v="7"/>
  </r>
  <r>
    <n v="1106"/>
    <s v="22-07-2024"/>
    <x v="9"/>
    <x v="5"/>
    <x v="6"/>
    <x v="2"/>
    <n v="5"/>
    <n v="5000"/>
    <n v="25000"/>
    <d v="2024-07-22T00:00:00"/>
    <x v="5"/>
  </r>
  <r>
    <n v="1107"/>
    <s v="01-08-2024"/>
    <x v="11"/>
    <x v="2"/>
    <x v="3"/>
    <x v="1"/>
    <n v="1"/>
    <n v="2500"/>
    <n v="2500"/>
    <d v="2024-08-01T00:00:00"/>
    <x v="4"/>
  </r>
  <r>
    <n v="1108"/>
    <s v="08-08-2024"/>
    <x v="2"/>
    <x v="6"/>
    <x v="3"/>
    <x v="1"/>
    <n v="1"/>
    <n v="2500"/>
    <n v="2500"/>
    <d v="2024-08-08T00:00:00"/>
    <x v="4"/>
  </r>
  <r>
    <n v="1109"/>
    <s v="02-12-2024"/>
    <x v="8"/>
    <x v="1"/>
    <x v="7"/>
    <x v="0"/>
    <n v="2"/>
    <n v="2000"/>
    <n v="4000"/>
    <d v="2024-12-02T00:00:00"/>
    <x v="6"/>
  </r>
  <r>
    <n v="1110"/>
    <s v="25-02-2024"/>
    <x v="3"/>
    <x v="2"/>
    <x v="5"/>
    <x v="2"/>
    <n v="4"/>
    <n v="1500"/>
    <n v="6000"/>
    <d v="2024-02-25T00:00:00"/>
    <x v="10"/>
  </r>
  <r>
    <n v="1111"/>
    <s v="02-07-2024"/>
    <x v="6"/>
    <x v="5"/>
    <x v="5"/>
    <x v="2"/>
    <n v="1"/>
    <n v="1500"/>
    <n v="1500"/>
    <d v="2024-07-02T00:00:00"/>
    <x v="5"/>
  </r>
  <r>
    <n v="1112"/>
    <s v="05-04-2024"/>
    <x v="6"/>
    <x v="5"/>
    <x v="5"/>
    <x v="2"/>
    <n v="5"/>
    <n v="1500"/>
    <n v="7500"/>
    <d v="2024-04-05T00:00:00"/>
    <x v="7"/>
  </r>
  <r>
    <n v="1113"/>
    <s v="20-12-2024"/>
    <x v="0"/>
    <x v="0"/>
    <x v="4"/>
    <x v="1"/>
    <n v="5"/>
    <n v="20000"/>
    <n v="100000"/>
    <d v="2024-12-20T00:00:00"/>
    <x v="6"/>
  </r>
  <r>
    <n v="1114"/>
    <s v="31-03-2024"/>
    <x v="9"/>
    <x v="6"/>
    <x v="2"/>
    <x v="1"/>
    <n v="1"/>
    <n v="50000"/>
    <n v="50000"/>
    <d v="2024-03-31T00:00:00"/>
    <x v="0"/>
  </r>
  <r>
    <n v="1115"/>
    <s v="06-03-2024"/>
    <x v="4"/>
    <x v="1"/>
    <x v="3"/>
    <x v="1"/>
    <n v="4"/>
    <n v="2500"/>
    <n v="10000"/>
    <d v="2024-03-06T00:00:00"/>
    <x v="0"/>
  </r>
  <r>
    <n v="1116"/>
    <s v="12-09-2024"/>
    <x v="11"/>
    <x v="3"/>
    <x v="2"/>
    <x v="1"/>
    <n v="5"/>
    <n v="50000"/>
    <n v="250000"/>
    <d v="2024-09-12T00:00:00"/>
    <x v="2"/>
  </r>
  <r>
    <n v="1117"/>
    <s v="25-05-2024"/>
    <x v="8"/>
    <x v="1"/>
    <x v="3"/>
    <x v="1"/>
    <n v="2"/>
    <n v="2500"/>
    <n v="5000"/>
    <d v="2024-05-25T00:00:00"/>
    <x v="8"/>
  </r>
  <r>
    <n v="1118"/>
    <s v="06-05-2024"/>
    <x v="1"/>
    <x v="6"/>
    <x v="3"/>
    <x v="1"/>
    <n v="4"/>
    <n v="2500"/>
    <n v="10000"/>
    <d v="2024-05-06T00:00:00"/>
    <x v="8"/>
  </r>
  <r>
    <n v="1119"/>
    <s v="17-08-2024"/>
    <x v="9"/>
    <x v="2"/>
    <x v="2"/>
    <x v="1"/>
    <n v="3"/>
    <n v="50000"/>
    <n v="150000"/>
    <d v="2024-08-17T00:00:00"/>
    <x v="4"/>
  </r>
  <r>
    <n v="1120"/>
    <s v="12-01-2024"/>
    <x v="6"/>
    <x v="0"/>
    <x v="7"/>
    <x v="0"/>
    <n v="4"/>
    <n v="2000"/>
    <n v="8000"/>
    <d v="2024-01-12T00:00:00"/>
    <x v="11"/>
  </r>
  <r>
    <n v="1121"/>
    <s v="19-11-2024"/>
    <x v="11"/>
    <x v="1"/>
    <x v="4"/>
    <x v="1"/>
    <n v="1"/>
    <n v="20000"/>
    <n v="20000"/>
    <d v="2024-11-19T00:00:00"/>
    <x v="9"/>
  </r>
  <r>
    <n v="1122"/>
    <s v="12-01-2024"/>
    <x v="8"/>
    <x v="3"/>
    <x v="4"/>
    <x v="1"/>
    <n v="3"/>
    <n v="20000"/>
    <n v="60000"/>
    <d v="2024-01-12T00:00:00"/>
    <x v="11"/>
  </r>
  <r>
    <n v="1123"/>
    <s v="23-04-2024"/>
    <x v="1"/>
    <x v="3"/>
    <x v="7"/>
    <x v="0"/>
    <n v="5"/>
    <n v="2000"/>
    <n v="10000"/>
    <d v="2024-04-23T00:00:00"/>
    <x v="7"/>
  </r>
  <r>
    <n v="1124"/>
    <s v="11-11-2024"/>
    <x v="7"/>
    <x v="6"/>
    <x v="5"/>
    <x v="2"/>
    <n v="5"/>
    <n v="1500"/>
    <n v="7500"/>
    <d v="2024-11-11T00:00:00"/>
    <x v="9"/>
  </r>
  <r>
    <n v="1125"/>
    <s v="05-04-2024"/>
    <x v="8"/>
    <x v="2"/>
    <x v="0"/>
    <x v="0"/>
    <n v="2"/>
    <n v="800"/>
    <n v="1600"/>
    <d v="2024-04-05T00:00:00"/>
    <x v="7"/>
  </r>
  <r>
    <n v="1126"/>
    <s v="13-05-2024"/>
    <x v="1"/>
    <x v="2"/>
    <x v="4"/>
    <x v="1"/>
    <n v="3"/>
    <n v="20000"/>
    <n v="60000"/>
    <d v="2024-05-13T00:00:00"/>
    <x v="8"/>
  </r>
  <r>
    <n v="1127"/>
    <s v="04-02-2024"/>
    <x v="10"/>
    <x v="3"/>
    <x v="6"/>
    <x v="2"/>
    <n v="1"/>
    <n v="5000"/>
    <n v="5000"/>
    <d v="2024-02-04T00:00:00"/>
    <x v="10"/>
  </r>
  <r>
    <n v="1128"/>
    <s v="01-11-2024"/>
    <x v="7"/>
    <x v="1"/>
    <x v="6"/>
    <x v="2"/>
    <n v="5"/>
    <n v="5000"/>
    <n v="25000"/>
    <d v="2024-11-01T00:00:00"/>
    <x v="9"/>
  </r>
  <r>
    <n v="1129"/>
    <s v="17-03-2024"/>
    <x v="9"/>
    <x v="4"/>
    <x v="5"/>
    <x v="2"/>
    <n v="2"/>
    <n v="1500"/>
    <n v="3000"/>
    <d v="2024-03-17T00:00:00"/>
    <x v="0"/>
  </r>
  <r>
    <n v="1130"/>
    <s v="04-07-2024"/>
    <x v="10"/>
    <x v="1"/>
    <x v="5"/>
    <x v="2"/>
    <n v="1"/>
    <n v="1500"/>
    <n v="1500"/>
    <d v="2024-07-04T00:00:00"/>
    <x v="5"/>
  </r>
  <r>
    <n v="1131"/>
    <s v="04-12-2024"/>
    <x v="5"/>
    <x v="3"/>
    <x v="1"/>
    <x v="0"/>
    <n v="2"/>
    <n v="3000"/>
    <n v="6000"/>
    <d v="2024-12-04T00:00:00"/>
    <x v="6"/>
  </r>
  <r>
    <n v="1132"/>
    <s v="09-05-2024"/>
    <x v="0"/>
    <x v="4"/>
    <x v="0"/>
    <x v="0"/>
    <n v="5"/>
    <n v="800"/>
    <n v="4000"/>
    <d v="2024-05-09T00:00:00"/>
    <x v="8"/>
  </r>
  <r>
    <n v="1133"/>
    <s v="09-03-2024"/>
    <x v="2"/>
    <x v="4"/>
    <x v="7"/>
    <x v="0"/>
    <n v="4"/>
    <n v="2000"/>
    <n v="8000"/>
    <d v="2024-03-09T00:00:00"/>
    <x v="0"/>
  </r>
  <r>
    <n v="1134"/>
    <s v="26-01-2024"/>
    <x v="0"/>
    <x v="3"/>
    <x v="2"/>
    <x v="1"/>
    <n v="2"/>
    <n v="50000"/>
    <n v="100000"/>
    <d v="2024-01-26T00:00:00"/>
    <x v="11"/>
  </r>
  <r>
    <n v="1135"/>
    <s v="19-01-2024"/>
    <x v="0"/>
    <x v="0"/>
    <x v="5"/>
    <x v="2"/>
    <n v="4"/>
    <n v="1500"/>
    <n v="6000"/>
    <d v="2024-01-19T00:00:00"/>
    <x v="11"/>
  </r>
  <r>
    <n v="1136"/>
    <s v="14-04-2024"/>
    <x v="9"/>
    <x v="5"/>
    <x v="1"/>
    <x v="0"/>
    <n v="3"/>
    <n v="3000"/>
    <n v="9000"/>
    <d v="2024-04-14T00:00:00"/>
    <x v="7"/>
  </r>
  <r>
    <n v="1137"/>
    <s v="07-12-2024"/>
    <x v="8"/>
    <x v="5"/>
    <x v="3"/>
    <x v="1"/>
    <n v="4"/>
    <n v="2500"/>
    <n v="10000"/>
    <d v="2024-12-07T00:00:00"/>
    <x v="6"/>
  </r>
  <r>
    <n v="1138"/>
    <s v="27-09-2024"/>
    <x v="11"/>
    <x v="4"/>
    <x v="3"/>
    <x v="1"/>
    <n v="4"/>
    <n v="2500"/>
    <n v="10000"/>
    <d v="2024-09-27T00:00:00"/>
    <x v="2"/>
  </r>
  <r>
    <n v="1139"/>
    <s v="15-09-2024"/>
    <x v="7"/>
    <x v="4"/>
    <x v="6"/>
    <x v="2"/>
    <n v="1"/>
    <n v="5000"/>
    <n v="5000"/>
    <d v="2024-09-15T00:00:00"/>
    <x v="2"/>
  </r>
  <r>
    <n v="1140"/>
    <s v="17-10-2024"/>
    <x v="3"/>
    <x v="1"/>
    <x v="6"/>
    <x v="2"/>
    <n v="4"/>
    <n v="5000"/>
    <n v="20000"/>
    <d v="2024-10-17T00:00:00"/>
    <x v="1"/>
  </r>
  <r>
    <n v="1141"/>
    <s v="22-01-2024"/>
    <x v="1"/>
    <x v="5"/>
    <x v="0"/>
    <x v="0"/>
    <n v="4"/>
    <n v="800"/>
    <n v="3200"/>
    <d v="2024-01-22T00:00:00"/>
    <x v="11"/>
  </r>
  <r>
    <n v="1142"/>
    <s v="22-12-2024"/>
    <x v="1"/>
    <x v="6"/>
    <x v="6"/>
    <x v="2"/>
    <n v="1"/>
    <n v="5000"/>
    <n v="5000"/>
    <d v="2024-12-22T00:00:00"/>
    <x v="6"/>
  </r>
  <r>
    <n v="1143"/>
    <s v="13-02-2024"/>
    <x v="6"/>
    <x v="3"/>
    <x v="0"/>
    <x v="0"/>
    <n v="5"/>
    <n v="800"/>
    <n v="4000"/>
    <d v="2024-02-13T00:00:00"/>
    <x v="10"/>
  </r>
  <r>
    <n v="1144"/>
    <s v="02-08-2024"/>
    <x v="7"/>
    <x v="0"/>
    <x v="4"/>
    <x v="1"/>
    <n v="4"/>
    <n v="20000"/>
    <n v="80000"/>
    <d v="2024-08-02T00:00:00"/>
    <x v="4"/>
  </r>
  <r>
    <n v="1145"/>
    <s v="27-05-2024"/>
    <x v="11"/>
    <x v="6"/>
    <x v="2"/>
    <x v="1"/>
    <n v="3"/>
    <n v="50000"/>
    <n v="150000"/>
    <d v="2024-05-27T00:00:00"/>
    <x v="8"/>
  </r>
  <r>
    <n v="1146"/>
    <s v="27-04-2024"/>
    <x v="7"/>
    <x v="6"/>
    <x v="7"/>
    <x v="0"/>
    <n v="5"/>
    <n v="2000"/>
    <n v="10000"/>
    <d v="2024-04-27T00:00:00"/>
    <x v="7"/>
  </r>
  <r>
    <n v="1147"/>
    <s v="30-08-2024"/>
    <x v="3"/>
    <x v="2"/>
    <x v="0"/>
    <x v="0"/>
    <n v="1"/>
    <n v="800"/>
    <n v="800"/>
    <d v="2024-08-30T00:00:00"/>
    <x v="4"/>
  </r>
  <r>
    <n v="1148"/>
    <s v="28-08-2024"/>
    <x v="10"/>
    <x v="1"/>
    <x v="3"/>
    <x v="1"/>
    <n v="4"/>
    <n v="2500"/>
    <n v="10000"/>
    <d v="2024-08-28T00:00:00"/>
    <x v="4"/>
  </r>
  <r>
    <n v="1149"/>
    <s v="24-01-2024"/>
    <x v="1"/>
    <x v="2"/>
    <x v="1"/>
    <x v="0"/>
    <n v="4"/>
    <n v="3000"/>
    <n v="12000"/>
    <d v="2024-01-24T00:00:00"/>
    <x v="11"/>
  </r>
  <r>
    <n v="1150"/>
    <s v="21-05-2024"/>
    <x v="7"/>
    <x v="4"/>
    <x v="6"/>
    <x v="2"/>
    <n v="5"/>
    <n v="5000"/>
    <n v="25000"/>
    <d v="2024-05-21T00:00:00"/>
    <x v="8"/>
  </r>
  <r>
    <n v="1151"/>
    <s v="13-03-2024"/>
    <x v="1"/>
    <x v="5"/>
    <x v="6"/>
    <x v="2"/>
    <n v="1"/>
    <n v="5000"/>
    <n v="5000"/>
    <d v="2024-03-13T00:00:00"/>
    <x v="0"/>
  </r>
  <r>
    <n v="1152"/>
    <s v="05-04-2024"/>
    <x v="1"/>
    <x v="1"/>
    <x v="1"/>
    <x v="0"/>
    <n v="4"/>
    <n v="3000"/>
    <n v="12000"/>
    <d v="2024-04-05T00:00:00"/>
    <x v="7"/>
  </r>
  <r>
    <n v="1153"/>
    <s v="23-10-2024"/>
    <x v="0"/>
    <x v="5"/>
    <x v="2"/>
    <x v="1"/>
    <n v="2"/>
    <n v="50000"/>
    <n v="100000"/>
    <d v="2024-10-23T00:00:00"/>
    <x v="1"/>
  </r>
  <r>
    <n v="1154"/>
    <s v="26-04-2024"/>
    <x v="9"/>
    <x v="3"/>
    <x v="2"/>
    <x v="1"/>
    <n v="3"/>
    <n v="50000"/>
    <n v="150000"/>
    <d v="2024-04-26T00:00:00"/>
    <x v="7"/>
  </r>
  <r>
    <n v="1155"/>
    <s v="25-02-2024"/>
    <x v="2"/>
    <x v="0"/>
    <x v="5"/>
    <x v="2"/>
    <n v="1"/>
    <n v="1500"/>
    <n v="1500"/>
    <d v="2024-02-25T00:00:00"/>
    <x v="10"/>
  </r>
  <r>
    <n v="1156"/>
    <s v="26-08-2024"/>
    <x v="4"/>
    <x v="6"/>
    <x v="4"/>
    <x v="1"/>
    <n v="1"/>
    <n v="20000"/>
    <n v="20000"/>
    <d v="2024-08-26T00:00:00"/>
    <x v="4"/>
  </r>
  <r>
    <n v="1157"/>
    <s v="24-08-2024"/>
    <x v="8"/>
    <x v="1"/>
    <x v="0"/>
    <x v="0"/>
    <n v="2"/>
    <n v="800"/>
    <n v="1600"/>
    <d v="2024-08-24T00:00:00"/>
    <x v="4"/>
  </r>
  <r>
    <n v="1158"/>
    <s v="02-03-2024"/>
    <x v="4"/>
    <x v="0"/>
    <x v="0"/>
    <x v="0"/>
    <n v="1"/>
    <n v="800"/>
    <n v="800"/>
    <d v="2024-03-02T00:00:00"/>
    <x v="0"/>
  </r>
  <r>
    <n v="1159"/>
    <s v="16-06-2024"/>
    <x v="0"/>
    <x v="3"/>
    <x v="1"/>
    <x v="0"/>
    <n v="3"/>
    <n v="3000"/>
    <n v="9000"/>
    <d v="2024-06-16T00:00:00"/>
    <x v="3"/>
  </r>
  <r>
    <n v="1160"/>
    <s v="28-10-2024"/>
    <x v="9"/>
    <x v="5"/>
    <x v="4"/>
    <x v="1"/>
    <n v="4"/>
    <n v="20000"/>
    <n v="80000"/>
    <d v="2024-10-28T00:00:00"/>
    <x v="1"/>
  </r>
  <r>
    <n v="1161"/>
    <s v="13-11-2024"/>
    <x v="6"/>
    <x v="1"/>
    <x v="2"/>
    <x v="1"/>
    <n v="1"/>
    <n v="50000"/>
    <n v="50000"/>
    <d v="2024-11-13T00:00:00"/>
    <x v="9"/>
  </r>
  <r>
    <n v="1162"/>
    <s v="25-07-2024"/>
    <x v="7"/>
    <x v="5"/>
    <x v="2"/>
    <x v="1"/>
    <n v="1"/>
    <n v="50000"/>
    <n v="50000"/>
    <d v="2024-07-25T00:00:00"/>
    <x v="5"/>
  </r>
  <r>
    <n v="1163"/>
    <s v="13-05-2024"/>
    <x v="10"/>
    <x v="6"/>
    <x v="6"/>
    <x v="2"/>
    <n v="3"/>
    <n v="5000"/>
    <n v="15000"/>
    <d v="2024-05-13T00:00:00"/>
    <x v="8"/>
  </r>
  <r>
    <n v="1164"/>
    <s v="13-10-2024"/>
    <x v="2"/>
    <x v="4"/>
    <x v="2"/>
    <x v="1"/>
    <n v="4"/>
    <n v="50000"/>
    <n v="200000"/>
    <d v="2024-10-13T00:00:00"/>
    <x v="1"/>
  </r>
  <r>
    <n v="1165"/>
    <s v="23-01-2024"/>
    <x v="10"/>
    <x v="5"/>
    <x v="1"/>
    <x v="0"/>
    <n v="2"/>
    <n v="3000"/>
    <n v="6000"/>
    <d v="2024-01-23T00:00:00"/>
    <x v="11"/>
  </r>
  <r>
    <n v="1166"/>
    <s v="12-07-2024"/>
    <x v="11"/>
    <x v="1"/>
    <x v="1"/>
    <x v="0"/>
    <n v="4"/>
    <n v="3000"/>
    <n v="12000"/>
    <d v="2024-07-12T00:00:00"/>
    <x v="5"/>
  </r>
  <r>
    <n v="1167"/>
    <s v="04-07-2024"/>
    <x v="9"/>
    <x v="4"/>
    <x v="3"/>
    <x v="1"/>
    <n v="2"/>
    <n v="2500"/>
    <n v="5000"/>
    <d v="2024-07-04T00:00:00"/>
    <x v="5"/>
  </r>
  <r>
    <n v="1168"/>
    <s v="28-08-2024"/>
    <x v="9"/>
    <x v="1"/>
    <x v="4"/>
    <x v="1"/>
    <n v="5"/>
    <n v="20000"/>
    <n v="100000"/>
    <d v="2024-08-28T00:00:00"/>
    <x v="4"/>
  </r>
  <r>
    <n v="1169"/>
    <s v="17-04-2024"/>
    <x v="7"/>
    <x v="2"/>
    <x v="6"/>
    <x v="2"/>
    <n v="5"/>
    <n v="5000"/>
    <n v="25000"/>
    <d v="2024-04-17T00:00:00"/>
    <x v="7"/>
  </r>
  <r>
    <n v="1170"/>
    <s v="19-11-2024"/>
    <x v="11"/>
    <x v="6"/>
    <x v="2"/>
    <x v="1"/>
    <n v="1"/>
    <n v="50000"/>
    <n v="50000"/>
    <d v="2024-11-19T00:00:00"/>
    <x v="9"/>
  </r>
  <r>
    <n v="1171"/>
    <s v="17-03-2024"/>
    <x v="5"/>
    <x v="2"/>
    <x v="5"/>
    <x v="2"/>
    <n v="5"/>
    <n v="1500"/>
    <n v="7500"/>
    <d v="2024-03-17T00:00:00"/>
    <x v="0"/>
  </r>
  <r>
    <n v="1172"/>
    <s v="18-09-2024"/>
    <x v="8"/>
    <x v="3"/>
    <x v="6"/>
    <x v="2"/>
    <n v="1"/>
    <n v="5000"/>
    <n v="5000"/>
    <d v="2024-09-18T00:00:00"/>
    <x v="2"/>
  </r>
  <r>
    <n v="1173"/>
    <s v="02-07-2024"/>
    <x v="0"/>
    <x v="0"/>
    <x v="6"/>
    <x v="2"/>
    <n v="2"/>
    <n v="5000"/>
    <n v="10000"/>
    <d v="2024-07-02T00:00:00"/>
    <x v="5"/>
  </r>
  <r>
    <n v="1174"/>
    <s v="12-09-2024"/>
    <x v="10"/>
    <x v="0"/>
    <x v="1"/>
    <x v="0"/>
    <n v="4"/>
    <n v="3000"/>
    <n v="12000"/>
    <d v="2024-09-12T00:00:00"/>
    <x v="2"/>
  </r>
  <r>
    <n v="1175"/>
    <s v="11-01-2024"/>
    <x v="0"/>
    <x v="6"/>
    <x v="6"/>
    <x v="2"/>
    <n v="3"/>
    <n v="5000"/>
    <n v="15000"/>
    <d v="2024-01-11T00:00:00"/>
    <x v="11"/>
  </r>
  <r>
    <n v="1176"/>
    <s v="02-02-2024"/>
    <x v="4"/>
    <x v="2"/>
    <x v="7"/>
    <x v="0"/>
    <n v="3"/>
    <n v="2000"/>
    <n v="6000"/>
    <d v="2024-02-02T00:00:00"/>
    <x v="10"/>
  </r>
  <r>
    <n v="1177"/>
    <s v="26-11-2024"/>
    <x v="10"/>
    <x v="5"/>
    <x v="0"/>
    <x v="0"/>
    <n v="2"/>
    <n v="800"/>
    <n v="1600"/>
    <d v="2024-11-26T00:00:00"/>
    <x v="9"/>
  </r>
  <r>
    <n v="1178"/>
    <s v="17-11-2024"/>
    <x v="11"/>
    <x v="2"/>
    <x v="4"/>
    <x v="1"/>
    <n v="4"/>
    <n v="20000"/>
    <n v="80000"/>
    <d v="2024-11-17T00:00:00"/>
    <x v="9"/>
  </r>
  <r>
    <n v="1179"/>
    <s v="12-05-2024"/>
    <x v="5"/>
    <x v="0"/>
    <x v="0"/>
    <x v="0"/>
    <n v="5"/>
    <n v="800"/>
    <n v="4000"/>
    <d v="2024-05-12T00:00:00"/>
    <x v="8"/>
  </r>
  <r>
    <n v="1180"/>
    <s v="22-06-2024"/>
    <x v="5"/>
    <x v="3"/>
    <x v="2"/>
    <x v="1"/>
    <n v="2"/>
    <n v="50000"/>
    <n v="100000"/>
    <d v="2024-06-22T00:00:00"/>
    <x v="3"/>
  </r>
  <r>
    <n v="1181"/>
    <s v="27-01-2024"/>
    <x v="3"/>
    <x v="1"/>
    <x v="0"/>
    <x v="0"/>
    <n v="4"/>
    <n v="800"/>
    <n v="3200"/>
    <d v="2024-01-27T00:00:00"/>
    <x v="11"/>
  </r>
  <r>
    <n v="1182"/>
    <s v="12-06-2024"/>
    <x v="10"/>
    <x v="2"/>
    <x v="7"/>
    <x v="0"/>
    <n v="3"/>
    <n v="2000"/>
    <n v="6000"/>
    <d v="2024-06-12T00:00:00"/>
    <x v="3"/>
  </r>
  <r>
    <n v="1183"/>
    <s v="04-12-2024"/>
    <x v="9"/>
    <x v="3"/>
    <x v="4"/>
    <x v="1"/>
    <n v="3"/>
    <n v="20000"/>
    <n v="60000"/>
    <d v="2024-12-04T00:00:00"/>
    <x v="6"/>
  </r>
  <r>
    <n v="1184"/>
    <s v="22-07-2024"/>
    <x v="5"/>
    <x v="0"/>
    <x v="2"/>
    <x v="1"/>
    <n v="2"/>
    <n v="50000"/>
    <n v="100000"/>
    <d v="2024-07-22T00:00:00"/>
    <x v="5"/>
  </r>
  <r>
    <n v="1185"/>
    <s v="16-09-2024"/>
    <x v="2"/>
    <x v="5"/>
    <x v="5"/>
    <x v="2"/>
    <n v="5"/>
    <n v="1500"/>
    <n v="7500"/>
    <d v="2024-09-16T00:00:00"/>
    <x v="2"/>
  </r>
  <r>
    <n v="1186"/>
    <s v="12-04-2024"/>
    <x v="9"/>
    <x v="4"/>
    <x v="3"/>
    <x v="1"/>
    <n v="2"/>
    <n v="2500"/>
    <n v="5000"/>
    <d v="2024-04-12T00:00:00"/>
    <x v="7"/>
  </r>
  <r>
    <n v="1187"/>
    <s v="19-06-2024"/>
    <x v="7"/>
    <x v="6"/>
    <x v="6"/>
    <x v="2"/>
    <n v="3"/>
    <n v="5000"/>
    <n v="15000"/>
    <d v="2024-06-19T00:00:00"/>
    <x v="3"/>
  </r>
  <r>
    <n v="1188"/>
    <s v="23-05-2024"/>
    <x v="5"/>
    <x v="0"/>
    <x v="7"/>
    <x v="0"/>
    <n v="2"/>
    <n v="2000"/>
    <n v="4000"/>
    <d v="2024-05-23T00:00:00"/>
    <x v="8"/>
  </r>
  <r>
    <n v="1189"/>
    <s v="11-09-2024"/>
    <x v="6"/>
    <x v="1"/>
    <x v="1"/>
    <x v="0"/>
    <n v="5"/>
    <n v="3000"/>
    <n v="15000"/>
    <d v="2024-09-11T00:00:00"/>
    <x v="2"/>
  </r>
  <r>
    <n v="1190"/>
    <s v="04-05-2024"/>
    <x v="5"/>
    <x v="6"/>
    <x v="1"/>
    <x v="0"/>
    <n v="5"/>
    <n v="3000"/>
    <n v="15000"/>
    <d v="2024-05-04T00:00:00"/>
    <x v="8"/>
  </r>
  <r>
    <n v="1191"/>
    <s v="01-08-2024"/>
    <x v="3"/>
    <x v="6"/>
    <x v="6"/>
    <x v="2"/>
    <n v="4"/>
    <n v="5000"/>
    <n v="20000"/>
    <d v="2024-08-01T00:00:00"/>
    <x v="4"/>
  </r>
  <r>
    <n v="1192"/>
    <s v="17-05-2024"/>
    <x v="1"/>
    <x v="6"/>
    <x v="7"/>
    <x v="0"/>
    <n v="5"/>
    <n v="2000"/>
    <n v="10000"/>
    <d v="2024-05-17T00:00:00"/>
    <x v="8"/>
  </r>
  <r>
    <n v="1193"/>
    <s v="27-06-2024"/>
    <x v="10"/>
    <x v="4"/>
    <x v="2"/>
    <x v="1"/>
    <n v="4"/>
    <n v="50000"/>
    <n v="200000"/>
    <d v="2024-06-27T00:00:00"/>
    <x v="3"/>
  </r>
  <r>
    <n v="1194"/>
    <s v="06-02-2024"/>
    <x v="8"/>
    <x v="6"/>
    <x v="0"/>
    <x v="0"/>
    <n v="4"/>
    <n v="800"/>
    <n v="3200"/>
    <d v="2024-02-06T00:00:00"/>
    <x v="10"/>
  </r>
  <r>
    <n v="1195"/>
    <s v="22-07-2024"/>
    <x v="0"/>
    <x v="2"/>
    <x v="1"/>
    <x v="0"/>
    <n v="1"/>
    <n v="3000"/>
    <n v="3000"/>
    <d v="2024-07-22T00:00:00"/>
    <x v="5"/>
  </r>
  <r>
    <n v="1196"/>
    <s v="11-01-2024"/>
    <x v="4"/>
    <x v="5"/>
    <x v="7"/>
    <x v="0"/>
    <n v="3"/>
    <n v="2000"/>
    <n v="6000"/>
    <d v="2024-01-11T00:00:00"/>
    <x v="11"/>
  </r>
  <r>
    <n v="1197"/>
    <s v="13-07-2024"/>
    <x v="1"/>
    <x v="4"/>
    <x v="6"/>
    <x v="2"/>
    <n v="2"/>
    <n v="5000"/>
    <n v="10000"/>
    <d v="2024-07-13T00:00:00"/>
    <x v="5"/>
  </r>
  <r>
    <n v="1198"/>
    <s v="22-02-2024"/>
    <x v="2"/>
    <x v="2"/>
    <x v="3"/>
    <x v="1"/>
    <n v="5"/>
    <n v="2500"/>
    <n v="12500"/>
    <d v="2024-02-22T00:00:00"/>
    <x v="10"/>
  </r>
  <r>
    <n v="1199"/>
    <s v="05-11-2024"/>
    <x v="3"/>
    <x v="0"/>
    <x v="4"/>
    <x v="1"/>
    <n v="1"/>
    <n v="20000"/>
    <n v="20000"/>
    <d v="2024-11-05T00:00:00"/>
    <x v="9"/>
  </r>
  <r>
    <n v="1200"/>
    <s v="04-05-2024"/>
    <x v="9"/>
    <x v="3"/>
    <x v="6"/>
    <x v="2"/>
    <n v="3"/>
    <n v="5000"/>
    <n v="15000"/>
    <d v="2024-05-04T00:00:00"/>
    <x v="8"/>
  </r>
  <r>
    <n v="1201"/>
    <s v="26-10-2024"/>
    <x v="8"/>
    <x v="6"/>
    <x v="2"/>
    <x v="1"/>
    <n v="3"/>
    <n v="50000"/>
    <n v="150000"/>
    <d v="2024-10-26T00:00:00"/>
    <x v="1"/>
  </r>
  <r>
    <n v="1202"/>
    <s v="09-01-2024"/>
    <x v="11"/>
    <x v="0"/>
    <x v="3"/>
    <x v="1"/>
    <n v="5"/>
    <n v="2500"/>
    <n v="12500"/>
    <d v="2024-01-09T00:00:00"/>
    <x v="11"/>
  </r>
  <r>
    <n v="1203"/>
    <s v="12-11-2024"/>
    <x v="9"/>
    <x v="0"/>
    <x v="4"/>
    <x v="1"/>
    <n v="4"/>
    <n v="20000"/>
    <n v="80000"/>
    <d v="2024-11-12T00:00:00"/>
    <x v="9"/>
  </r>
  <r>
    <n v="1204"/>
    <s v="30-03-2024"/>
    <x v="0"/>
    <x v="6"/>
    <x v="5"/>
    <x v="2"/>
    <n v="5"/>
    <n v="1500"/>
    <n v="7500"/>
    <d v="2024-03-30T00:00:00"/>
    <x v="0"/>
  </r>
  <r>
    <n v="1205"/>
    <s v="10-08-2024"/>
    <x v="2"/>
    <x v="5"/>
    <x v="6"/>
    <x v="2"/>
    <n v="1"/>
    <n v="5000"/>
    <n v="5000"/>
    <d v="2024-08-10T00:00:00"/>
    <x v="4"/>
  </r>
  <r>
    <n v="1206"/>
    <s v="20-03-2024"/>
    <x v="7"/>
    <x v="2"/>
    <x v="2"/>
    <x v="1"/>
    <n v="5"/>
    <n v="50000"/>
    <n v="250000"/>
    <d v="2024-03-20T00:00:00"/>
    <x v="0"/>
  </r>
  <r>
    <n v="1207"/>
    <s v="20-03-2024"/>
    <x v="8"/>
    <x v="5"/>
    <x v="4"/>
    <x v="1"/>
    <n v="2"/>
    <n v="20000"/>
    <n v="40000"/>
    <d v="2024-03-20T00:00:00"/>
    <x v="0"/>
  </r>
  <r>
    <n v="1208"/>
    <s v="10-11-2024"/>
    <x v="6"/>
    <x v="5"/>
    <x v="4"/>
    <x v="1"/>
    <n v="1"/>
    <n v="20000"/>
    <n v="20000"/>
    <d v="2024-11-10T00:00:00"/>
    <x v="9"/>
  </r>
  <r>
    <n v="1209"/>
    <s v="20-11-2024"/>
    <x v="5"/>
    <x v="6"/>
    <x v="5"/>
    <x v="2"/>
    <n v="4"/>
    <n v="1500"/>
    <n v="6000"/>
    <d v="2024-11-20T00:00:00"/>
    <x v="9"/>
  </r>
  <r>
    <n v="1210"/>
    <s v="24-05-2024"/>
    <x v="1"/>
    <x v="3"/>
    <x v="3"/>
    <x v="1"/>
    <n v="2"/>
    <n v="2500"/>
    <n v="5000"/>
    <d v="2024-05-24T00:00:00"/>
    <x v="8"/>
  </r>
  <r>
    <n v="1211"/>
    <s v="22-05-2024"/>
    <x v="4"/>
    <x v="1"/>
    <x v="4"/>
    <x v="1"/>
    <n v="4"/>
    <n v="20000"/>
    <n v="80000"/>
    <d v="2024-05-22T00:00:00"/>
    <x v="8"/>
  </r>
  <r>
    <n v="1212"/>
    <s v="23-06-2024"/>
    <x v="2"/>
    <x v="0"/>
    <x v="3"/>
    <x v="1"/>
    <n v="1"/>
    <n v="2500"/>
    <n v="2500"/>
    <d v="2024-06-23T00:00:00"/>
    <x v="3"/>
  </r>
  <r>
    <n v="1213"/>
    <s v="19-07-2024"/>
    <x v="0"/>
    <x v="2"/>
    <x v="7"/>
    <x v="0"/>
    <n v="4"/>
    <n v="2000"/>
    <n v="8000"/>
    <d v="2024-07-19T00:00:00"/>
    <x v="5"/>
  </r>
  <r>
    <n v="1214"/>
    <s v="11-08-2024"/>
    <x v="2"/>
    <x v="1"/>
    <x v="3"/>
    <x v="1"/>
    <n v="4"/>
    <n v="2500"/>
    <n v="10000"/>
    <d v="2024-08-11T00:00:00"/>
    <x v="4"/>
  </r>
  <r>
    <n v="1215"/>
    <s v="09-08-2024"/>
    <x v="0"/>
    <x v="3"/>
    <x v="5"/>
    <x v="2"/>
    <n v="2"/>
    <n v="1500"/>
    <n v="3000"/>
    <d v="2024-08-09T00:00:00"/>
    <x v="4"/>
  </r>
  <r>
    <n v="1216"/>
    <s v="04-03-2024"/>
    <x v="11"/>
    <x v="1"/>
    <x v="6"/>
    <x v="2"/>
    <n v="3"/>
    <n v="5000"/>
    <n v="15000"/>
    <d v="2024-03-04T00:00:00"/>
    <x v="0"/>
  </r>
  <r>
    <n v="1217"/>
    <s v="27-12-2024"/>
    <x v="4"/>
    <x v="4"/>
    <x v="0"/>
    <x v="0"/>
    <n v="3"/>
    <n v="800"/>
    <n v="2400"/>
    <d v="2024-12-27T00:00:00"/>
    <x v="6"/>
  </r>
  <r>
    <n v="1218"/>
    <s v="24-05-2024"/>
    <x v="7"/>
    <x v="0"/>
    <x v="7"/>
    <x v="0"/>
    <n v="4"/>
    <n v="2000"/>
    <n v="8000"/>
    <d v="2024-05-24T00:00:00"/>
    <x v="8"/>
  </r>
  <r>
    <n v="1219"/>
    <s v="13-12-2024"/>
    <x v="11"/>
    <x v="3"/>
    <x v="1"/>
    <x v="0"/>
    <n v="4"/>
    <n v="3000"/>
    <n v="12000"/>
    <d v="2024-12-13T00:00:00"/>
    <x v="6"/>
  </r>
  <r>
    <n v="1220"/>
    <s v="09-02-2024"/>
    <x v="5"/>
    <x v="6"/>
    <x v="5"/>
    <x v="2"/>
    <n v="3"/>
    <n v="1500"/>
    <n v="4500"/>
    <d v="2024-02-09T00:00:00"/>
    <x v="10"/>
  </r>
  <r>
    <n v="1221"/>
    <s v="14-08-2024"/>
    <x v="1"/>
    <x v="6"/>
    <x v="1"/>
    <x v="0"/>
    <n v="3"/>
    <n v="3000"/>
    <n v="9000"/>
    <d v="2024-08-14T00:00:00"/>
    <x v="4"/>
  </r>
  <r>
    <n v="1222"/>
    <s v="08-01-2024"/>
    <x v="9"/>
    <x v="0"/>
    <x v="3"/>
    <x v="1"/>
    <n v="2"/>
    <n v="2500"/>
    <n v="5000"/>
    <d v="2024-01-08T00:00:00"/>
    <x v="11"/>
  </r>
  <r>
    <n v="1223"/>
    <s v="13-12-2024"/>
    <x v="10"/>
    <x v="3"/>
    <x v="0"/>
    <x v="0"/>
    <n v="4"/>
    <n v="800"/>
    <n v="3200"/>
    <d v="2024-12-13T00:00:00"/>
    <x v="6"/>
  </r>
  <r>
    <n v="1224"/>
    <s v="25-06-2024"/>
    <x v="5"/>
    <x v="2"/>
    <x v="4"/>
    <x v="1"/>
    <n v="4"/>
    <n v="20000"/>
    <n v="80000"/>
    <d v="2024-06-25T00:00:00"/>
    <x v="3"/>
  </r>
  <r>
    <n v="1225"/>
    <s v="25-02-2024"/>
    <x v="6"/>
    <x v="6"/>
    <x v="7"/>
    <x v="0"/>
    <n v="5"/>
    <n v="2000"/>
    <n v="10000"/>
    <d v="2024-02-25T00:00:00"/>
    <x v="10"/>
  </r>
  <r>
    <n v="1226"/>
    <s v="21-08-2024"/>
    <x v="6"/>
    <x v="6"/>
    <x v="4"/>
    <x v="1"/>
    <n v="4"/>
    <n v="20000"/>
    <n v="80000"/>
    <d v="2024-08-21T00:00:00"/>
    <x v="4"/>
  </r>
  <r>
    <n v="1227"/>
    <s v="31-03-2024"/>
    <x v="1"/>
    <x v="4"/>
    <x v="1"/>
    <x v="0"/>
    <n v="3"/>
    <n v="3000"/>
    <n v="9000"/>
    <d v="2024-03-31T00:00:00"/>
    <x v="0"/>
  </r>
  <r>
    <n v="1228"/>
    <s v="26-12-2024"/>
    <x v="1"/>
    <x v="1"/>
    <x v="0"/>
    <x v="0"/>
    <n v="3"/>
    <n v="800"/>
    <n v="2400"/>
    <d v="2024-12-26T00:00:00"/>
    <x v="6"/>
  </r>
  <r>
    <n v="1229"/>
    <s v="26-08-2024"/>
    <x v="2"/>
    <x v="4"/>
    <x v="0"/>
    <x v="0"/>
    <n v="5"/>
    <n v="800"/>
    <n v="4000"/>
    <d v="2024-08-26T00:00:00"/>
    <x v="4"/>
  </r>
  <r>
    <n v="1230"/>
    <s v="16-12-2024"/>
    <x v="7"/>
    <x v="0"/>
    <x v="3"/>
    <x v="1"/>
    <n v="3"/>
    <n v="2500"/>
    <n v="7500"/>
    <d v="2024-12-16T00:00:00"/>
    <x v="6"/>
  </r>
  <r>
    <n v="1231"/>
    <s v="25-07-2024"/>
    <x v="5"/>
    <x v="4"/>
    <x v="2"/>
    <x v="1"/>
    <n v="1"/>
    <n v="50000"/>
    <n v="50000"/>
    <d v="2024-07-25T00:00:00"/>
    <x v="5"/>
  </r>
  <r>
    <n v="1232"/>
    <s v="24-09-2024"/>
    <x v="9"/>
    <x v="3"/>
    <x v="4"/>
    <x v="1"/>
    <n v="4"/>
    <n v="20000"/>
    <n v="80000"/>
    <d v="2024-09-24T00:00:00"/>
    <x v="2"/>
  </r>
  <r>
    <n v="1233"/>
    <s v="07-07-2024"/>
    <x v="8"/>
    <x v="3"/>
    <x v="5"/>
    <x v="2"/>
    <n v="3"/>
    <n v="1500"/>
    <n v="4500"/>
    <d v="2024-07-07T00:00:00"/>
    <x v="5"/>
  </r>
  <r>
    <n v="1234"/>
    <s v="04-07-2024"/>
    <x v="10"/>
    <x v="0"/>
    <x v="6"/>
    <x v="2"/>
    <n v="1"/>
    <n v="5000"/>
    <n v="5000"/>
    <d v="2024-07-04T00:00:00"/>
    <x v="5"/>
  </r>
  <r>
    <n v="1235"/>
    <s v="22-04-2024"/>
    <x v="5"/>
    <x v="3"/>
    <x v="3"/>
    <x v="1"/>
    <n v="2"/>
    <n v="2500"/>
    <n v="5000"/>
    <d v="2024-04-22T00:00:00"/>
    <x v="7"/>
  </r>
  <r>
    <n v="1236"/>
    <s v="16-09-2024"/>
    <x v="1"/>
    <x v="0"/>
    <x v="7"/>
    <x v="0"/>
    <n v="5"/>
    <n v="2000"/>
    <n v="10000"/>
    <d v="2024-09-16T00:00:00"/>
    <x v="2"/>
  </r>
  <r>
    <n v="1237"/>
    <s v="18-11-2024"/>
    <x v="7"/>
    <x v="3"/>
    <x v="3"/>
    <x v="1"/>
    <n v="4"/>
    <n v="2500"/>
    <n v="10000"/>
    <d v="2024-11-18T00:00:00"/>
    <x v="9"/>
  </r>
  <r>
    <n v="1238"/>
    <s v="22-06-2024"/>
    <x v="10"/>
    <x v="5"/>
    <x v="4"/>
    <x v="1"/>
    <n v="5"/>
    <n v="20000"/>
    <n v="100000"/>
    <d v="2024-06-22T00:00:00"/>
    <x v="3"/>
  </r>
  <r>
    <n v="1239"/>
    <s v="26-02-2024"/>
    <x v="11"/>
    <x v="6"/>
    <x v="7"/>
    <x v="0"/>
    <n v="1"/>
    <n v="2000"/>
    <n v="2000"/>
    <d v="2024-02-26T00:00:00"/>
    <x v="10"/>
  </r>
  <r>
    <n v="1240"/>
    <s v="17-03-2024"/>
    <x v="6"/>
    <x v="0"/>
    <x v="4"/>
    <x v="1"/>
    <n v="1"/>
    <n v="20000"/>
    <n v="20000"/>
    <d v="2024-03-17T00:00:00"/>
    <x v="0"/>
  </r>
  <r>
    <n v="1241"/>
    <s v="12-05-2024"/>
    <x v="9"/>
    <x v="6"/>
    <x v="1"/>
    <x v="0"/>
    <n v="2"/>
    <n v="3000"/>
    <n v="6000"/>
    <d v="2024-05-12T00:00:00"/>
    <x v="8"/>
  </r>
  <r>
    <n v="1242"/>
    <s v="12-06-2024"/>
    <x v="2"/>
    <x v="6"/>
    <x v="4"/>
    <x v="1"/>
    <n v="5"/>
    <n v="20000"/>
    <n v="100000"/>
    <d v="2024-06-12T00:00:00"/>
    <x v="3"/>
  </r>
  <r>
    <n v="1243"/>
    <s v="30-04-2024"/>
    <x v="7"/>
    <x v="6"/>
    <x v="3"/>
    <x v="1"/>
    <n v="4"/>
    <n v="2500"/>
    <n v="10000"/>
    <d v="2024-04-30T00:00:00"/>
    <x v="7"/>
  </r>
  <r>
    <n v="1244"/>
    <s v="07-04-2024"/>
    <x v="2"/>
    <x v="5"/>
    <x v="0"/>
    <x v="0"/>
    <n v="1"/>
    <n v="800"/>
    <n v="800"/>
    <d v="2024-04-07T00:00:00"/>
    <x v="7"/>
  </r>
  <r>
    <n v="1245"/>
    <s v="28-06-2024"/>
    <x v="8"/>
    <x v="6"/>
    <x v="2"/>
    <x v="1"/>
    <n v="2"/>
    <n v="50000"/>
    <n v="100000"/>
    <d v="2024-06-28T00:00:00"/>
    <x v="3"/>
  </r>
  <r>
    <n v="1246"/>
    <s v="08-07-2024"/>
    <x v="6"/>
    <x v="3"/>
    <x v="6"/>
    <x v="2"/>
    <n v="4"/>
    <n v="5000"/>
    <n v="20000"/>
    <d v="2024-07-08T00:00:00"/>
    <x v="5"/>
  </r>
  <r>
    <n v="1247"/>
    <s v="03-01-2024"/>
    <x v="3"/>
    <x v="5"/>
    <x v="0"/>
    <x v="0"/>
    <n v="3"/>
    <n v="800"/>
    <n v="2400"/>
    <d v="2024-01-03T00:00:00"/>
    <x v="11"/>
  </r>
  <r>
    <n v="1248"/>
    <s v="24-12-2024"/>
    <x v="9"/>
    <x v="6"/>
    <x v="2"/>
    <x v="1"/>
    <n v="3"/>
    <n v="50000"/>
    <n v="150000"/>
    <d v="2024-12-24T00:00:00"/>
    <x v="6"/>
  </r>
  <r>
    <n v="1249"/>
    <s v="04-06-2024"/>
    <x v="4"/>
    <x v="2"/>
    <x v="2"/>
    <x v="1"/>
    <n v="4"/>
    <n v="50000"/>
    <n v="200000"/>
    <d v="2024-06-04T00:00:00"/>
    <x v="3"/>
  </r>
  <r>
    <n v="1250"/>
    <s v="13-06-2024"/>
    <x v="9"/>
    <x v="5"/>
    <x v="4"/>
    <x v="1"/>
    <n v="1"/>
    <n v="20000"/>
    <n v="20000"/>
    <d v="2024-06-13T00:00:00"/>
    <x v="3"/>
  </r>
  <r>
    <n v="1251"/>
    <s v="15-04-2024"/>
    <x v="3"/>
    <x v="4"/>
    <x v="3"/>
    <x v="1"/>
    <n v="3"/>
    <n v="2500"/>
    <n v="7500"/>
    <d v="2024-04-15T00:00:00"/>
    <x v="7"/>
  </r>
  <r>
    <n v="1252"/>
    <s v="22-03-2024"/>
    <x v="4"/>
    <x v="4"/>
    <x v="4"/>
    <x v="1"/>
    <n v="1"/>
    <n v="20000"/>
    <n v="20000"/>
    <d v="2024-03-22T00:00:00"/>
    <x v="0"/>
  </r>
  <r>
    <n v="1253"/>
    <s v="29-12-2024"/>
    <x v="8"/>
    <x v="1"/>
    <x v="7"/>
    <x v="0"/>
    <n v="4"/>
    <n v="2000"/>
    <n v="8000"/>
    <d v="2024-12-29T00:00:00"/>
    <x v="6"/>
  </r>
  <r>
    <n v="1254"/>
    <s v="29-11-2024"/>
    <x v="8"/>
    <x v="0"/>
    <x v="6"/>
    <x v="2"/>
    <n v="4"/>
    <n v="5000"/>
    <n v="20000"/>
    <d v="2024-11-29T00:00:00"/>
    <x v="9"/>
  </r>
  <r>
    <n v="1255"/>
    <s v="16-06-2024"/>
    <x v="7"/>
    <x v="6"/>
    <x v="2"/>
    <x v="1"/>
    <n v="3"/>
    <n v="50000"/>
    <n v="150000"/>
    <d v="2024-06-16T00:00:00"/>
    <x v="3"/>
  </r>
  <r>
    <n v="1256"/>
    <s v="18-05-2024"/>
    <x v="11"/>
    <x v="3"/>
    <x v="2"/>
    <x v="1"/>
    <n v="3"/>
    <n v="50000"/>
    <n v="150000"/>
    <d v="2024-05-18T00:00:00"/>
    <x v="8"/>
  </r>
  <r>
    <n v="1257"/>
    <s v="18-02-2024"/>
    <x v="4"/>
    <x v="1"/>
    <x v="1"/>
    <x v="0"/>
    <n v="1"/>
    <n v="3000"/>
    <n v="3000"/>
    <d v="2024-02-18T00:00:00"/>
    <x v="10"/>
  </r>
  <r>
    <n v="1258"/>
    <s v="21-09-2024"/>
    <x v="5"/>
    <x v="4"/>
    <x v="1"/>
    <x v="0"/>
    <n v="2"/>
    <n v="3000"/>
    <n v="6000"/>
    <d v="2024-09-21T00:00:00"/>
    <x v="2"/>
  </r>
  <r>
    <n v="1259"/>
    <s v="04-01-2024"/>
    <x v="7"/>
    <x v="5"/>
    <x v="3"/>
    <x v="1"/>
    <n v="2"/>
    <n v="2500"/>
    <n v="5000"/>
    <d v="2024-01-04T00:00:00"/>
    <x v="11"/>
  </r>
  <r>
    <n v="1260"/>
    <s v="12-07-2024"/>
    <x v="1"/>
    <x v="0"/>
    <x v="2"/>
    <x v="1"/>
    <n v="5"/>
    <n v="50000"/>
    <n v="250000"/>
    <d v="2024-07-12T00:00:00"/>
    <x v="5"/>
  </r>
  <r>
    <n v="1261"/>
    <s v="16-01-2024"/>
    <x v="2"/>
    <x v="0"/>
    <x v="6"/>
    <x v="2"/>
    <n v="1"/>
    <n v="5000"/>
    <n v="5000"/>
    <d v="2024-01-16T00:00:00"/>
    <x v="11"/>
  </r>
  <r>
    <n v="1262"/>
    <s v="12-12-2024"/>
    <x v="0"/>
    <x v="1"/>
    <x v="2"/>
    <x v="1"/>
    <n v="4"/>
    <n v="50000"/>
    <n v="200000"/>
    <d v="2024-12-12T00:00:00"/>
    <x v="6"/>
  </r>
  <r>
    <n v="1263"/>
    <s v="06-05-2024"/>
    <x v="4"/>
    <x v="6"/>
    <x v="4"/>
    <x v="1"/>
    <n v="4"/>
    <n v="20000"/>
    <n v="80000"/>
    <d v="2024-05-06T00:00:00"/>
    <x v="8"/>
  </r>
  <r>
    <n v="1264"/>
    <s v="09-11-2024"/>
    <x v="5"/>
    <x v="1"/>
    <x v="1"/>
    <x v="0"/>
    <n v="2"/>
    <n v="3000"/>
    <n v="6000"/>
    <d v="2024-11-09T00:00:00"/>
    <x v="9"/>
  </r>
  <r>
    <n v="1265"/>
    <s v="19-06-2024"/>
    <x v="1"/>
    <x v="2"/>
    <x v="7"/>
    <x v="0"/>
    <n v="5"/>
    <n v="2000"/>
    <n v="10000"/>
    <d v="2024-06-19T00:00:00"/>
    <x v="3"/>
  </r>
  <r>
    <n v="1266"/>
    <s v="05-10-2024"/>
    <x v="11"/>
    <x v="2"/>
    <x v="6"/>
    <x v="2"/>
    <n v="4"/>
    <n v="5000"/>
    <n v="20000"/>
    <d v="2024-10-05T00:00:00"/>
    <x v="1"/>
  </r>
  <r>
    <n v="1267"/>
    <s v="23-01-2024"/>
    <x v="5"/>
    <x v="0"/>
    <x v="5"/>
    <x v="2"/>
    <n v="4"/>
    <n v="1500"/>
    <n v="6000"/>
    <d v="2024-01-23T00:00:00"/>
    <x v="11"/>
  </r>
  <r>
    <n v="1268"/>
    <s v="14-10-2024"/>
    <x v="6"/>
    <x v="4"/>
    <x v="3"/>
    <x v="1"/>
    <n v="5"/>
    <n v="2500"/>
    <n v="12500"/>
    <d v="2024-10-14T00:00:00"/>
    <x v="1"/>
  </r>
  <r>
    <n v="1269"/>
    <s v="14-06-2024"/>
    <x v="6"/>
    <x v="3"/>
    <x v="5"/>
    <x v="2"/>
    <n v="3"/>
    <n v="1500"/>
    <n v="4500"/>
    <d v="2024-06-14T00:00:00"/>
    <x v="3"/>
  </r>
  <r>
    <n v="1270"/>
    <s v="05-04-2024"/>
    <x v="9"/>
    <x v="6"/>
    <x v="0"/>
    <x v="0"/>
    <n v="2"/>
    <n v="800"/>
    <n v="1600"/>
    <d v="2024-04-05T00:00:00"/>
    <x v="7"/>
  </r>
  <r>
    <n v="1271"/>
    <s v="21-03-2024"/>
    <x v="2"/>
    <x v="0"/>
    <x v="7"/>
    <x v="0"/>
    <n v="3"/>
    <n v="2000"/>
    <n v="6000"/>
    <d v="2024-03-21T00:00:00"/>
    <x v="0"/>
  </r>
  <r>
    <n v="1272"/>
    <s v="28-07-2024"/>
    <x v="5"/>
    <x v="0"/>
    <x v="2"/>
    <x v="1"/>
    <n v="4"/>
    <n v="50000"/>
    <n v="200000"/>
    <d v="2024-07-28T00:00:00"/>
    <x v="5"/>
  </r>
  <r>
    <n v="1273"/>
    <s v="07-04-2024"/>
    <x v="11"/>
    <x v="6"/>
    <x v="5"/>
    <x v="2"/>
    <n v="4"/>
    <n v="1500"/>
    <n v="6000"/>
    <d v="2024-04-07T00:00:00"/>
    <x v="7"/>
  </r>
  <r>
    <n v="1274"/>
    <s v="24-01-2024"/>
    <x v="8"/>
    <x v="3"/>
    <x v="7"/>
    <x v="0"/>
    <n v="3"/>
    <n v="2000"/>
    <n v="6000"/>
    <d v="2024-01-24T00:00:00"/>
    <x v="11"/>
  </r>
  <r>
    <n v="1275"/>
    <s v="08-12-2024"/>
    <x v="6"/>
    <x v="5"/>
    <x v="7"/>
    <x v="0"/>
    <n v="3"/>
    <n v="2000"/>
    <n v="6000"/>
    <d v="2024-12-08T00:00:00"/>
    <x v="6"/>
  </r>
  <r>
    <n v="1276"/>
    <s v="31-10-2024"/>
    <x v="6"/>
    <x v="6"/>
    <x v="4"/>
    <x v="1"/>
    <n v="4"/>
    <n v="20000"/>
    <n v="80000"/>
    <d v="2024-10-31T00:00:00"/>
    <x v="1"/>
  </r>
  <r>
    <n v="1277"/>
    <s v="28-11-2024"/>
    <x v="10"/>
    <x v="4"/>
    <x v="7"/>
    <x v="0"/>
    <n v="1"/>
    <n v="2000"/>
    <n v="2000"/>
    <d v="2024-11-28T00:00:00"/>
    <x v="9"/>
  </r>
  <r>
    <n v="1278"/>
    <s v="04-11-2024"/>
    <x v="5"/>
    <x v="1"/>
    <x v="1"/>
    <x v="0"/>
    <n v="5"/>
    <n v="3000"/>
    <n v="15000"/>
    <d v="2024-11-04T00:00:00"/>
    <x v="9"/>
  </r>
  <r>
    <n v="1279"/>
    <s v="07-06-2024"/>
    <x v="6"/>
    <x v="6"/>
    <x v="7"/>
    <x v="0"/>
    <n v="3"/>
    <n v="2000"/>
    <n v="6000"/>
    <d v="2024-06-07T00:00:00"/>
    <x v="3"/>
  </r>
  <r>
    <n v="1280"/>
    <s v="29-02-2024"/>
    <x v="7"/>
    <x v="6"/>
    <x v="7"/>
    <x v="0"/>
    <n v="1"/>
    <n v="2000"/>
    <n v="2000"/>
    <d v="2024-02-29T00:00:00"/>
    <x v="10"/>
  </r>
  <r>
    <n v="1281"/>
    <s v="29-05-2024"/>
    <x v="11"/>
    <x v="5"/>
    <x v="4"/>
    <x v="1"/>
    <n v="1"/>
    <n v="20000"/>
    <n v="20000"/>
    <d v="2024-05-29T00:00:00"/>
    <x v="8"/>
  </r>
  <r>
    <n v="1282"/>
    <s v="07-10-2024"/>
    <x v="0"/>
    <x v="6"/>
    <x v="0"/>
    <x v="0"/>
    <n v="3"/>
    <n v="800"/>
    <n v="2400"/>
    <d v="2024-10-07T00:00:00"/>
    <x v="1"/>
  </r>
  <r>
    <n v="1283"/>
    <s v="01-08-2024"/>
    <x v="1"/>
    <x v="5"/>
    <x v="0"/>
    <x v="0"/>
    <n v="1"/>
    <n v="800"/>
    <n v="800"/>
    <d v="2024-08-01T00:00:00"/>
    <x v="4"/>
  </r>
  <r>
    <n v="1284"/>
    <s v="10-03-2024"/>
    <x v="11"/>
    <x v="5"/>
    <x v="3"/>
    <x v="1"/>
    <n v="1"/>
    <n v="2500"/>
    <n v="2500"/>
    <d v="2024-03-10T00:00:00"/>
    <x v="0"/>
  </r>
  <r>
    <n v="1285"/>
    <s v="06-09-2024"/>
    <x v="11"/>
    <x v="5"/>
    <x v="6"/>
    <x v="2"/>
    <n v="3"/>
    <n v="5000"/>
    <n v="15000"/>
    <d v="2024-09-06T00:00:00"/>
    <x v="2"/>
  </r>
  <r>
    <n v="1286"/>
    <s v="04-12-2024"/>
    <x v="11"/>
    <x v="2"/>
    <x v="3"/>
    <x v="1"/>
    <n v="3"/>
    <n v="2500"/>
    <n v="7500"/>
    <d v="2024-12-04T00:00:00"/>
    <x v="6"/>
  </r>
  <r>
    <n v="1287"/>
    <s v="30-01-2024"/>
    <x v="9"/>
    <x v="5"/>
    <x v="6"/>
    <x v="2"/>
    <n v="4"/>
    <n v="5000"/>
    <n v="20000"/>
    <d v="2024-01-30T00:00:00"/>
    <x v="11"/>
  </r>
  <r>
    <n v="1288"/>
    <s v="11-02-2024"/>
    <x v="6"/>
    <x v="6"/>
    <x v="2"/>
    <x v="1"/>
    <n v="2"/>
    <n v="50000"/>
    <n v="100000"/>
    <d v="2024-02-11T00:00:00"/>
    <x v="10"/>
  </r>
  <r>
    <n v="1289"/>
    <s v="20-01-2024"/>
    <x v="7"/>
    <x v="1"/>
    <x v="4"/>
    <x v="1"/>
    <n v="5"/>
    <n v="20000"/>
    <n v="100000"/>
    <d v="2024-01-20T00:00:00"/>
    <x v="11"/>
  </r>
  <r>
    <n v="1290"/>
    <s v="22-05-2024"/>
    <x v="7"/>
    <x v="1"/>
    <x v="2"/>
    <x v="1"/>
    <n v="3"/>
    <n v="50000"/>
    <n v="150000"/>
    <d v="2024-05-22T00:00:00"/>
    <x v="8"/>
  </r>
  <r>
    <n v="1291"/>
    <s v="03-10-2024"/>
    <x v="11"/>
    <x v="2"/>
    <x v="7"/>
    <x v="0"/>
    <n v="3"/>
    <n v="2000"/>
    <n v="6000"/>
    <d v="2024-10-03T00:00:00"/>
    <x v="1"/>
  </r>
  <r>
    <n v="1292"/>
    <s v="24-02-2024"/>
    <x v="10"/>
    <x v="4"/>
    <x v="1"/>
    <x v="0"/>
    <n v="5"/>
    <n v="3000"/>
    <n v="15000"/>
    <d v="2024-02-24T00:00:00"/>
    <x v="10"/>
  </r>
  <r>
    <n v="1293"/>
    <s v="16-04-2024"/>
    <x v="11"/>
    <x v="5"/>
    <x v="6"/>
    <x v="2"/>
    <n v="4"/>
    <n v="5000"/>
    <n v="20000"/>
    <d v="2024-04-16T00:00:00"/>
    <x v="7"/>
  </r>
  <r>
    <n v="1294"/>
    <s v="05-04-2024"/>
    <x v="1"/>
    <x v="1"/>
    <x v="3"/>
    <x v="1"/>
    <n v="5"/>
    <n v="2500"/>
    <n v="12500"/>
    <d v="2024-04-05T00:00:00"/>
    <x v="7"/>
  </r>
  <r>
    <n v="1295"/>
    <s v="23-11-2024"/>
    <x v="4"/>
    <x v="4"/>
    <x v="7"/>
    <x v="0"/>
    <n v="3"/>
    <n v="2000"/>
    <n v="6000"/>
    <d v="2024-11-23T00:00:00"/>
    <x v="9"/>
  </r>
  <r>
    <n v="1296"/>
    <s v="15-03-2024"/>
    <x v="3"/>
    <x v="6"/>
    <x v="4"/>
    <x v="1"/>
    <n v="5"/>
    <n v="20000"/>
    <n v="100000"/>
    <d v="2024-03-15T00:00:00"/>
    <x v="0"/>
  </r>
  <r>
    <n v="1297"/>
    <s v="25-10-2024"/>
    <x v="10"/>
    <x v="0"/>
    <x v="0"/>
    <x v="0"/>
    <n v="3"/>
    <n v="800"/>
    <n v="2400"/>
    <d v="2024-10-25T00:00:00"/>
    <x v="1"/>
  </r>
  <r>
    <n v="1298"/>
    <s v="17-10-2024"/>
    <x v="1"/>
    <x v="4"/>
    <x v="5"/>
    <x v="2"/>
    <n v="2"/>
    <n v="1500"/>
    <n v="3000"/>
    <d v="2024-10-17T00:00:00"/>
    <x v="1"/>
  </r>
  <r>
    <n v="1299"/>
    <s v="18-09-2024"/>
    <x v="3"/>
    <x v="4"/>
    <x v="7"/>
    <x v="0"/>
    <n v="3"/>
    <n v="2000"/>
    <n v="6000"/>
    <d v="2024-09-18T00:00:00"/>
    <x v="2"/>
  </r>
  <r>
    <n v="1300"/>
    <s v="27-08-2024"/>
    <x v="4"/>
    <x v="4"/>
    <x v="5"/>
    <x v="2"/>
    <n v="2"/>
    <n v="1500"/>
    <n v="3000"/>
    <d v="2024-08-27T00:00:00"/>
    <x v="4"/>
  </r>
  <r>
    <n v="1301"/>
    <s v="12-06-2024"/>
    <x v="5"/>
    <x v="6"/>
    <x v="5"/>
    <x v="2"/>
    <n v="2"/>
    <n v="1500"/>
    <n v="3000"/>
    <d v="2024-06-12T00:00:00"/>
    <x v="3"/>
  </r>
  <r>
    <n v="1302"/>
    <s v="04-06-2024"/>
    <x v="6"/>
    <x v="1"/>
    <x v="5"/>
    <x v="2"/>
    <n v="1"/>
    <n v="1500"/>
    <n v="1500"/>
    <d v="2024-06-04T00:00:00"/>
    <x v="3"/>
  </r>
  <r>
    <n v="1303"/>
    <s v="30-07-2024"/>
    <x v="11"/>
    <x v="1"/>
    <x v="7"/>
    <x v="0"/>
    <n v="4"/>
    <n v="2000"/>
    <n v="8000"/>
    <d v="2024-07-30T00:00:00"/>
    <x v="5"/>
  </r>
  <r>
    <n v="1304"/>
    <s v="05-08-2024"/>
    <x v="9"/>
    <x v="2"/>
    <x v="2"/>
    <x v="1"/>
    <n v="4"/>
    <n v="50000"/>
    <n v="200000"/>
    <d v="2024-08-05T00:00:00"/>
    <x v="4"/>
  </r>
  <r>
    <n v="1305"/>
    <s v="22-02-2024"/>
    <x v="3"/>
    <x v="2"/>
    <x v="1"/>
    <x v="0"/>
    <n v="4"/>
    <n v="3000"/>
    <n v="12000"/>
    <d v="2024-02-22T00:00:00"/>
    <x v="10"/>
  </r>
  <r>
    <n v="1306"/>
    <s v="08-04-2024"/>
    <x v="7"/>
    <x v="2"/>
    <x v="1"/>
    <x v="0"/>
    <n v="2"/>
    <n v="3000"/>
    <n v="6000"/>
    <d v="2024-04-08T00:00:00"/>
    <x v="7"/>
  </r>
  <r>
    <n v="1307"/>
    <s v="05-09-2024"/>
    <x v="0"/>
    <x v="4"/>
    <x v="0"/>
    <x v="0"/>
    <n v="4"/>
    <n v="800"/>
    <n v="3200"/>
    <d v="2024-09-05T00:00:00"/>
    <x v="2"/>
  </r>
  <r>
    <n v="1308"/>
    <s v="07-02-2024"/>
    <x v="4"/>
    <x v="2"/>
    <x v="3"/>
    <x v="1"/>
    <n v="5"/>
    <n v="2500"/>
    <n v="12500"/>
    <d v="2024-02-07T00:00:00"/>
    <x v="10"/>
  </r>
  <r>
    <n v="1309"/>
    <s v="14-06-2024"/>
    <x v="6"/>
    <x v="4"/>
    <x v="7"/>
    <x v="0"/>
    <n v="1"/>
    <n v="2000"/>
    <n v="2000"/>
    <d v="2024-06-14T00:00:00"/>
    <x v="3"/>
  </r>
  <r>
    <n v="1310"/>
    <s v="10-07-2024"/>
    <x v="4"/>
    <x v="6"/>
    <x v="0"/>
    <x v="0"/>
    <n v="4"/>
    <n v="800"/>
    <n v="3200"/>
    <d v="2024-07-10T00:00:00"/>
    <x v="5"/>
  </r>
  <r>
    <n v="1311"/>
    <s v="23-11-2024"/>
    <x v="1"/>
    <x v="2"/>
    <x v="5"/>
    <x v="2"/>
    <n v="1"/>
    <n v="1500"/>
    <n v="1500"/>
    <d v="2024-11-23T00:00:00"/>
    <x v="9"/>
  </r>
  <r>
    <n v="1312"/>
    <s v="05-02-2024"/>
    <x v="5"/>
    <x v="0"/>
    <x v="1"/>
    <x v="0"/>
    <n v="4"/>
    <n v="3000"/>
    <n v="12000"/>
    <d v="2024-02-05T00:00:00"/>
    <x v="10"/>
  </r>
  <r>
    <n v="1313"/>
    <s v="07-04-2024"/>
    <x v="7"/>
    <x v="0"/>
    <x v="2"/>
    <x v="1"/>
    <n v="3"/>
    <n v="50000"/>
    <n v="150000"/>
    <d v="2024-04-07T00:00:00"/>
    <x v="7"/>
  </r>
  <r>
    <n v="1314"/>
    <s v="27-10-2024"/>
    <x v="2"/>
    <x v="0"/>
    <x v="3"/>
    <x v="1"/>
    <n v="1"/>
    <n v="2500"/>
    <n v="2500"/>
    <d v="2024-10-27T00:00:00"/>
    <x v="1"/>
  </r>
  <r>
    <n v="1315"/>
    <s v="21-06-2024"/>
    <x v="1"/>
    <x v="3"/>
    <x v="5"/>
    <x v="2"/>
    <n v="3"/>
    <n v="1500"/>
    <n v="4500"/>
    <d v="2024-06-21T00:00:00"/>
    <x v="3"/>
  </r>
  <r>
    <n v="1316"/>
    <s v="17-11-2024"/>
    <x v="9"/>
    <x v="3"/>
    <x v="4"/>
    <x v="1"/>
    <n v="4"/>
    <n v="20000"/>
    <n v="80000"/>
    <d v="2024-11-17T00:00:00"/>
    <x v="9"/>
  </r>
  <r>
    <n v="1317"/>
    <s v="06-04-2024"/>
    <x v="2"/>
    <x v="3"/>
    <x v="2"/>
    <x v="1"/>
    <n v="1"/>
    <n v="50000"/>
    <n v="50000"/>
    <d v="2024-04-06T00:00:00"/>
    <x v="7"/>
  </r>
  <r>
    <n v="1318"/>
    <s v="07-11-2024"/>
    <x v="0"/>
    <x v="6"/>
    <x v="6"/>
    <x v="2"/>
    <n v="5"/>
    <n v="5000"/>
    <n v="25000"/>
    <d v="2024-11-07T00:00:00"/>
    <x v="9"/>
  </r>
  <r>
    <n v="1319"/>
    <s v="15-05-2024"/>
    <x v="9"/>
    <x v="3"/>
    <x v="3"/>
    <x v="1"/>
    <n v="5"/>
    <n v="2500"/>
    <n v="12500"/>
    <d v="2024-05-15T00:00:00"/>
    <x v="8"/>
  </r>
  <r>
    <n v="1320"/>
    <s v="09-11-2024"/>
    <x v="3"/>
    <x v="4"/>
    <x v="1"/>
    <x v="0"/>
    <n v="4"/>
    <n v="3000"/>
    <n v="12000"/>
    <d v="2024-11-09T00:00:00"/>
    <x v="9"/>
  </r>
  <r>
    <n v="1321"/>
    <s v="17-06-2024"/>
    <x v="2"/>
    <x v="0"/>
    <x v="2"/>
    <x v="1"/>
    <n v="1"/>
    <n v="50000"/>
    <n v="50000"/>
    <d v="2024-06-17T00:00:00"/>
    <x v="3"/>
  </r>
  <r>
    <n v="1322"/>
    <s v="18-09-2024"/>
    <x v="4"/>
    <x v="2"/>
    <x v="1"/>
    <x v="0"/>
    <n v="1"/>
    <n v="3000"/>
    <n v="3000"/>
    <d v="2024-09-18T00:00:00"/>
    <x v="2"/>
  </r>
  <r>
    <n v="1323"/>
    <s v="17-07-2024"/>
    <x v="7"/>
    <x v="5"/>
    <x v="7"/>
    <x v="0"/>
    <n v="1"/>
    <n v="2000"/>
    <n v="2000"/>
    <d v="2024-07-17T00:00:00"/>
    <x v="5"/>
  </r>
  <r>
    <n v="1324"/>
    <s v="17-08-2024"/>
    <x v="4"/>
    <x v="1"/>
    <x v="6"/>
    <x v="2"/>
    <n v="4"/>
    <n v="5000"/>
    <n v="20000"/>
    <d v="2024-08-17T00:00:00"/>
    <x v="4"/>
  </r>
  <r>
    <n v="1325"/>
    <s v="10-03-2024"/>
    <x v="5"/>
    <x v="0"/>
    <x v="5"/>
    <x v="2"/>
    <n v="3"/>
    <n v="1500"/>
    <n v="4500"/>
    <d v="2024-03-10T00:00:00"/>
    <x v="0"/>
  </r>
  <r>
    <n v="1326"/>
    <s v="02-04-2024"/>
    <x v="9"/>
    <x v="2"/>
    <x v="3"/>
    <x v="1"/>
    <n v="1"/>
    <n v="2500"/>
    <n v="2500"/>
    <d v="2024-04-02T00:00:00"/>
    <x v="7"/>
  </r>
  <r>
    <n v="1327"/>
    <s v="14-03-2024"/>
    <x v="4"/>
    <x v="3"/>
    <x v="2"/>
    <x v="1"/>
    <n v="1"/>
    <n v="50000"/>
    <n v="50000"/>
    <d v="2024-03-14T00:00:00"/>
    <x v="0"/>
  </r>
  <r>
    <n v="1328"/>
    <s v="13-08-2024"/>
    <x v="10"/>
    <x v="1"/>
    <x v="0"/>
    <x v="0"/>
    <n v="2"/>
    <n v="800"/>
    <n v="1600"/>
    <d v="2024-08-13T00:00:00"/>
    <x v="4"/>
  </r>
  <r>
    <n v="1329"/>
    <s v="29-07-2024"/>
    <x v="11"/>
    <x v="2"/>
    <x v="6"/>
    <x v="2"/>
    <n v="3"/>
    <n v="5000"/>
    <n v="15000"/>
    <d v="2024-07-29T00:00:00"/>
    <x v="5"/>
  </r>
  <r>
    <n v="1330"/>
    <s v="12-12-2024"/>
    <x v="11"/>
    <x v="3"/>
    <x v="2"/>
    <x v="1"/>
    <n v="5"/>
    <n v="50000"/>
    <n v="250000"/>
    <d v="2024-12-12T00:00:00"/>
    <x v="6"/>
  </r>
  <r>
    <n v="1331"/>
    <s v="25-10-2024"/>
    <x v="10"/>
    <x v="2"/>
    <x v="3"/>
    <x v="1"/>
    <n v="1"/>
    <n v="2500"/>
    <n v="2500"/>
    <d v="2024-10-25T00:00:00"/>
    <x v="1"/>
  </r>
  <r>
    <n v="1332"/>
    <s v="16-04-2024"/>
    <x v="10"/>
    <x v="1"/>
    <x v="3"/>
    <x v="1"/>
    <n v="4"/>
    <n v="2500"/>
    <n v="10000"/>
    <d v="2024-04-16T00:00:00"/>
    <x v="7"/>
  </r>
  <r>
    <n v="1333"/>
    <s v="08-05-2024"/>
    <x v="1"/>
    <x v="6"/>
    <x v="2"/>
    <x v="1"/>
    <n v="5"/>
    <n v="50000"/>
    <n v="250000"/>
    <d v="2024-05-08T00:00:00"/>
    <x v="8"/>
  </r>
  <r>
    <n v="1334"/>
    <s v="13-06-2024"/>
    <x v="9"/>
    <x v="5"/>
    <x v="6"/>
    <x v="2"/>
    <n v="3"/>
    <n v="5000"/>
    <n v="15000"/>
    <d v="2024-06-13T00:00:00"/>
    <x v="3"/>
  </r>
  <r>
    <n v="1335"/>
    <s v="13-04-2024"/>
    <x v="10"/>
    <x v="1"/>
    <x v="5"/>
    <x v="2"/>
    <n v="3"/>
    <n v="1500"/>
    <n v="4500"/>
    <d v="2024-04-13T00:00:00"/>
    <x v="7"/>
  </r>
  <r>
    <n v="1336"/>
    <s v="30-06-2024"/>
    <x v="6"/>
    <x v="3"/>
    <x v="6"/>
    <x v="2"/>
    <n v="3"/>
    <n v="5000"/>
    <n v="15000"/>
    <d v="2024-06-30T00:00:00"/>
    <x v="3"/>
  </r>
  <r>
    <n v="1337"/>
    <s v="21-04-2024"/>
    <x v="0"/>
    <x v="0"/>
    <x v="7"/>
    <x v="0"/>
    <n v="3"/>
    <n v="2000"/>
    <n v="6000"/>
    <d v="2024-04-21T00:00:00"/>
    <x v="7"/>
  </r>
  <r>
    <n v="1338"/>
    <s v="04-02-2024"/>
    <x v="7"/>
    <x v="5"/>
    <x v="2"/>
    <x v="1"/>
    <n v="4"/>
    <n v="50000"/>
    <n v="200000"/>
    <d v="2024-02-04T00:00:00"/>
    <x v="10"/>
  </r>
  <r>
    <n v="1339"/>
    <s v="10-03-2024"/>
    <x v="1"/>
    <x v="0"/>
    <x v="3"/>
    <x v="1"/>
    <n v="2"/>
    <n v="2500"/>
    <n v="5000"/>
    <d v="2024-03-10T00:00:00"/>
    <x v="0"/>
  </r>
  <r>
    <n v="1340"/>
    <s v="21-07-2024"/>
    <x v="2"/>
    <x v="3"/>
    <x v="0"/>
    <x v="0"/>
    <n v="4"/>
    <n v="800"/>
    <n v="3200"/>
    <d v="2024-07-21T00:00:00"/>
    <x v="5"/>
  </r>
  <r>
    <n v="1341"/>
    <s v="11-06-2024"/>
    <x v="4"/>
    <x v="2"/>
    <x v="6"/>
    <x v="2"/>
    <n v="2"/>
    <n v="5000"/>
    <n v="10000"/>
    <d v="2024-06-11T00:00:00"/>
    <x v="3"/>
  </r>
  <r>
    <n v="1342"/>
    <s v="24-02-2024"/>
    <x v="0"/>
    <x v="5"/>
    <x v="1"/>
    <x v="0"/>
    <n v="4"/>
    <n v="3000"/>
    <n v="12000"/>
    <d v="2024-02-24T00:00:00"/>
    <x v="10"/>
  </r>
  <r>
    <n v="1343"/>
    <s v="27-03-2024"/>
    <x v="9"/>
    <x v="3"/>
    <x v="5"/>
    <x v="2"/>
    <n v="4"/>
    <n v="1500"/>
    <n v="6000"/>
    <d v="2024-03-27T00:00:00"/>
    <x v="0"/>
  </r>
  <r>
    <n v="1344"/>
    <s v="09-06-2024"/>
    <x v="4"/>
    <x v="6"/>
    <x v="2"/>
    <x v="1"/>
    <n v="4"/>
    <n v="50000"/>
    <n v="200000"/>
    <d v="2024-06-09T00:00:00"/>
    <x v="3"/>
  </r>
  <r>
    <n v="1345"/>
    <s v="14-03-2024"/>
    <x v="2"/>
    <x v="0"/>
    <x v="5"/>
    <x v="2"/>
    <n v="4"/>
    <n v="1500"/>
    <n v="6000"/>
    <d v="2024-03-14T00:00:00"/>
    <x v="0"/>
  </r>
  <r>
    <n v="1346"/>
    <s v="26-06-2024"/>
    <x v="6"/>
    <x v="0"/>
    <x v="4"/>
    <x v="1"/>
    <n v="4"/>
    <n v="20000"/>
    <n v="80000"/>
    <d v="2024-06-26T00:00:00"/>
    <x v="3"/>
  </r>
  <r>
    <n v="1347"/>
    <s v="19-01-2024"/>
    <x v="0"/>
    <x v="4"/>
    <x v="1"/>
    <x v="0"/>
    <n v="5"/>
    <n v="3000"/>
    <n v="15000"/>
    <d v="2024-01-19T00:00:00"/>
    <x v="11"/>
  </r>
  <r>
    <n v="1348"/>
    <s v="10-01-2024"/>
    <x v="11"/>
    <x v="0"/>
    <x v="4"/>
    <x v="1"/>
    <n v="2"/>
    <n v="20000"/>
    <n v="40000"/>
    <d v="2024-01-10T00:00:00"/>
    <x v="11"/>
  </r>
  <r>
    <n v="1349"/>
    <s v="03-11-2024"/>
    <x v="0"/>
    <x v="3"/>
    <x v="0"/>
    <x v="0"/>
    <n v="3"/>
    <n v="800"/>
    <n v="2400"/>
    <d v="2024-11-03T00:00:00"/>
    <x v="9"/>
  </r>
  <r>
    <n v="1350"/>
    <s v="24-01-2024"/>
    <x v="7"/>
    <x v="6"/>
    <x v="3"/>
    <x v="1"/>
    <n v="2"/>
    <n v="2500"/>
    <n v="5000"/>
    <d v="2024-01-24T00:00:00"/>
    <x v="11"/>
  </r>
  <r>
    <n v="1351"/>
    <s v="04-01-2024"/>
    <x v="1"/>
    <x v="2"/>
    <x v="5"/>
    <x v="2"/>
    <n v="1"/>
    <n v="1500"/>
    <n v="1500"/>
    <d v="2024-01-04T00:00:00"/>
    <x v="11"/>
  </r>
  <r>
    <n v="1352"/>
    <s v="27-10-2024"/>
    <x v="7"/>
    <x v="1"/>
    <x v="1"/>
    <x v="0"/>
    <n v="2"/>
    <n v="3000"/>
    <n v="6000"/>
    <d v="2024-10-27T00:00:00"/>
    <x v="1"/>
  </r>
  <r>
    <n v="1353"/>
    <s v="27-10-2024"/>
    <x v="1"/>
    <x v="6"/>
    <x v="4"/>
    <x v="1"/>
    <n v="4"/>
    <n v="20000"/>
    <n v="80000"/>
    <d v="2024-10-27T00:00:00"/>
    <x v="1"/>
  </r>
  <r>
    <n v="1354"/>
    <s v="05-04-2024"/>
    <x v="5"/>
    <x v="2"/>
    <x v="3"/>
    <x v="1"/>
    <n v="1"/>
    <n v="2500"/>
    <n v="2500"/>
    <d v="2024-04-05T00:00:00"/>
    <x v="7"/>
  </r>
  <r>
    <n v="1355"/>
    <s v="02-10-2024"/>
    <x v="3"/>
    <x v="4"/>
    <x v="1"/>
    <x v="0"/>
    <n v="4"/>
    <n v="3000"/>
    <n v="12000"/>
    <d v="2024-10-02T00:00:00"/>
    <x v="1"/>
  </r>
  <r>
    <n v="1356"/>
    <s v="31-07-2024"/>
    <x v="3"/>
    <x v="4"/>
    <x v="1"/>
    <x v="0"/>
    <n v="3"/>
    <n v="3000"/>
    <n v="9000"/>
    <d v="2024-07-31T00:00:00"/>
    <x v="5"/>
  </r>
  <r>
    <n v="1357"/>
    <s v="25-11-2024"/>
    <x v="7"/>
    <x v="1"/>
    <x v="3"/>
    <x v="1"/>
    <n v="5"/>
    <n v="2500"/>
    <n v="12500"/>
    <d v="2024-11-25T00:00:00"/>
    <x v="9"/>
  </r>
  <r>
    <n v="1358"/>
    <s v="10-11-2024"/>
    <x v="7"/>
    <x v="6"/>
    <x v="5"/>
    <x v="2"/>
    <n v="1"/>
    <n v="1500"/>
    <n v="1500"/>
    <d v="2024-11-10T00:00:00"/>
    <x v="9"/>
  </r>
  <r>
    <n v="1359"/>
    <s v="25-02-2024"/>
    <x v="6"/>
    <x v="6"/>
    <x v="7"/>
    <x v="0"/>
    <n v="1"/>
    <n v="2000"/>
    <n v="2000"/>
    <d v="2024-02-25T00:00:00"/>
    <x v="10"/>
  </r>
  <r>
    <n v="1360"/>
    <s v="30-12-2024"/>
    <x v="5"/>
    <x v="0"/>
    <x v="7"/>
    <x v="0"/>
    <n v="4"/>
    <n v="2000"/>
    <n v="8000"/>
    <d v="2024-12-30T00:00:00"/>
    <x v="6"/>
  </r>
  <r>
    <n v="1361"/>
    <s v="21-02-2024"/>
    <x v="4"/>
    <x v="6"/>
    <x v="7"/>
    <x v="0"/>
    <n v="1"/>
    <n v="2000"/>
    <n v="2000"/>
    <d v="2024-02-21T00:00:00"/>
    <x v="10"/>
  </r>
  <r>
    <n v="1362"/>
    <s v="05-12-2024"/>
    <x v="11"/>
    <x v="3"/>
    <x v="3"/>
    <x v="1"/>
    <n v="1"/>
    <n v="2500"/>
    <n v="2500"/>
    <d v="2024-12-05T00:00:00"/>
    <x v="6"/>
  </r>
  <r>
    <n v="1363"/>
    <s v="11-05-2024"/>
    <x v="8"/>
    <x v="2"/>
    <x v="5"/>
    <x v="2"/>
    <n v="1"/>
    <n v="1500"/>
    <n v="1500"/>
    <d v="2024-05-11T00:00:00"/>
    <x v="8"/>
  </r>
  <r>
    <n v="1364"/>
    <s v="28-05-2024"/>
    <x v="1"/>
    <x v="0"/>
    <x v="0"/>
    <x v="0"/>
    <n v="5"/>
    <n v="800"/>
    <n v="4000"/>
    <d v="2024-05-28T00:00:00"/>
    <x v="8"/>
  </r>
  <r>
    <n v="1365"/>
    <s v="23-01-2024"/>
    <x v="9"/>
    <x v="3"/>
    <x v="5"/>
    <x v="2"/>
    <n v="1"/>
    <n v="1500"/>
    <n v="1500"/>
    <d v="2024-01-23T00:00:00"/>
    <x v="11"/>
  </r>
  <r>
    <n v="1366"/>
    <s v="10-04-2024"/>
    <x v="10"/>
    <x v="2"/>
    <x v="5"/>
    <x v="2"/>
    <n v="4"/>
    <n v="1500"/>
    <n v="6000"/>
    <d v="2024-04-10T00:00:00"/>
    <x v="7"/>
  </r>
  <r>
    <n v="1367"/>
    <s v="29-05-2024"/>
    <x v="10"/>
    <x v="3"/>
    <x v="0"/>
    <x v="0"/>
    <n v="5"/>
    <n v="800"/>
    <n v="4000"/>
    <d v="2024-05-29T00:00:00"/>
    <x v="8"/>
  </r>
  <r>
    <n v="1368"/>
    <s v="04-02-2024"/>
    <x v="5"/>
    <x v="4"/>
    <x v="0"/>
    <x v="0"/>
    <n v="1"/>
    <n v="800"/>
    <n v="800"/>
    <d v="2024-02-04T00:00:00"/>
    <x v="10"/>
  </r>
  <r>
    <n v="1369"/>
    <s v="18-05-2024"/>
    <x v="0"/>
    <x v="3"/>
    <x v="0"/>
    <x v="0"/>
    <n v="1"/>
    <n v="800"/>
    <n v="800"/>
    <d v="2024-05-18T00:00:00"/>
    <x v="8"/>
  </r>
  <r>
    <n v="1370"/>
    <s v="01-09-2024"/>
    <x v="2"/>
    <x v="0"/>
    <x v="7"/>
    <x v="0"/>
    <n v="2"/>
    <n v="2000"/>
    <n v="4000"/>
    <d v="2024-09-01T00:00:00"/>
    <x v="2"/>
  </r>
  <r>
    <n v="1371"/>
    <s v="13-12-2024"/>
    <x v="9"/>
    <x v="1"/>
    <x v="5"/>
    <x v="2"/>
    <n v="5"/>
    <n v="1500"/>
    <n v="7500"/>
    <d v="2024-12-13T00:00:00"/>
    <x v="6"/>
  </r>
  <r>
    <n v="1372"/>
    <s v="07-05-2024"/>
    <x v="2"/>
    <x v="0"/>
    <x v="6"/>
    <x v="2"/>
    <n v="3"/>
    <n v="5000"/>
    <n v="15000"/>
    <d v="2024-05-07T00:00:00"/>
    <x v="8"/>
  </r>
  <r>
    <n v="1373"/>
    <s v="04-12-2024"/>
    <x v="9"/>
    <x v="3"/>
    <x v="6"/>
    <x v="2"/>
    <n v="1"/>
    <n v="5000"/>
    <n v="5000"/>
    <d v="2024-12-04T00:00:00"/>
    <x v="6"/>
  </r>
  <r>
    <n v="1374"/>
    <s v="24-10-2024"/>
    <x v="2"/>
    <x v="2"/>
    <x v="1"/>
    <x v="0"/>
    <n v="4"/>
    <n v="3000"/>
    <n v="12000"/>
    <d v="2024-10-24T00:00:00"/>
    <x v="1"/>
  </r>
  <r>
    <n v="1375"/>
    <s v="24-05-2024"/>
    <x v="3"/>
    <x v="3"/>
    <x v="1"/>
    <x v="0"/>
    <n v="4"/>
    <n v="3000"/>
    <n v="12000"/>
    <d v="2024-05-24T00:00:00"/>
    <x v="8"/>
  </r>
  <r>
    <n v="1376"/>
    <s v="05-08-2024"/>
    <x v="4"/>
    <x v="0"/>
    <x v="6"/>
    <x v="2"/>
    <n v="4"/>
    <n v="5000"/>
    <n v="20000"/>
    <d v="2024-08-05T00:00:00"/>
    <x v="4"/>
  </r>
  <r>
    <n v="1377"/>
    <s v="08-10-2024"/>
    <x v="3"/>
    <x v="1"/>
    <x v="0"/>
    <x v="0"/>
    <n v="2"/>
    <n v="800"/>
    <n v="1600"/>
    <d v="2024-10-08T00:00:00"/>
    <x v="1"/>
  </r>
  <r>
    <n v="1378"/>
    <s v="04-10-2024"/>
    <x v="7"/>
    <x v="5"/>
    <x v="2"/>
    <x v="1"/>
    <n v="2"/>
    <n v="50000"/>
    <n v="100000"/>
    <d v="2024-10-04T00:00:00"/>
    <x v="1"/>
  </r>
  <r>
    <n v="1379"/>
    <s v="05-12-2024"/>
    <x v="4"/>
    <x v="4"/>
    <x v="1"/>
    <x v="0"/>
    <n v="4"/>
    <n v="3000"/>
    <n v="12000"/>
    <d v="2024-12-05T00:00:00"/>
    <x v="6"/>
  </r>
  <r>
    <n v="1380"/>
    <s v="14-09-2024"/>
    <x v="5"/>
    <x v="6"/>
    <x v="0"/>
    <x v="0"/>
    <n v="3"/>
    <n v="800"/>
    <n v="2400"/>
    <d v="2024-09-14T00:00:00"/>
    <x v="2"/>
  </r>
  <r>
    <n v="1381"/>
    <s v="07-01-2024"/>
    <x v="3"/>
    <x v="5"/>
    <x v="4"/>
    <x v="1"/>
    <n v="1"/>
    <n v="20000"/>
    <n v="20000"/>
    <d v="2024-01-07T00:00:00"/>
    <x v="11"/>
  </r>
  <r>
    <n v="1382"/>
    <s v="04-08-2024"/>
    <x v="4"/>
    <x v="5"/>
    <x v="2"/>
    <x v="1"/>
    <n v="1"/>
    <n v="50000"/>
    <n v="50000"/>
    <d v="2024-08-04T00:00:00"/>
    <x v="4"/>
  </r>
  <r>
    <n v="1383"/>
    <s v="17-09-2024"/>
    <x v="11"/>
    <x v="0"/>
    <x v="5"/>
    <x v="2"/>
    <n v="1"/>
    <n v="1500"/>
    <n v="1500"/>
    <d v="2024-09-17T00:00:00"/>
    <x v="2"/>
  </r>
  <r>
    <n v="1384"/>
    <s v="26-10-2024"/>
    <x v="2"/>
    <x v="3"/>
    <x v="5"/>
    <x v="2"/>
    <n v="3"/>
    <n v="1500"/>
    <n v="4500"/>
    <d v="2024-10-26T00:00:00"/>
    <x v="1"/>
  </r>
  <r>
    <n v="1385"/>
    <s v="26-09-2024"/>
    <x v="11"/>
    <x v="4"/>
    <x v="3"/>
    <x v="1"/>
    <n v="2"/>
    <n v="2500"/>
    <n v="5000"/>
    <d v="2024-09-26T00:00:00"/>
    <x v="2"/>
  </r>
  <r>
    <n v="1386"/>
    <s v="26-09-2024"/>
    <x v="0"/>
    <x v="0"/>
    <x v="5"/>
    <x v="2"/>
    <n v="1"/>
    <n v="1500"/>
    <n v="1500"/>
    <d v="2024-09-26T00:00:00"/>
    <x v="2"/>
  </r>
  <r>
    <n v="1387"/>
    <s v="23-01-2024"/>
    <x v="5"/>
    <x v="4"/>
    <x v="5"/>
    <x v="2"/>
    <n v="4"/>
    <n v="1500"/>
    <n v="6000"/>
    <d v="2024-01-23T00:00:00"/>
    <x v="11"/>
  </r>
  <r>
    <n v="1388"/>
    <s v="13-11-2024"/>
    <x v="7"/>
    <x v="2"/>
    <x v="7"/>
    <x v="0"/>
    <n v="3"/>
    <n v="2000"/>
    <n v="6000"/>
    <d v="2024-11-13T00:00:00"/>
    <x v="9"/>
  </r>
  <r>
    <n v="1389"/>
    <s v="16-12-2024"/>
    <x v="5"/>
    <x v="4"/>
    <x v="4"/>
    <x v="1"/>
    <n v="3"/>
    <n v="20000"/>
    <n v="60000"/>
    <d v="2024-12-16T00:00:00"/>
    <x v="6"/>
  </r>
  <r>
    <n v="1390"/>
    <s v="06-07-2024"/>
    <x v="10"/>
    <x v="2"/>
    <x v="3"/>
    <x v="1"/>
    <n v="2"/>
    <n v="2500"/>
    <n v="5000"/>
    <d v="2024-07-06T00:00:00"/>
    <x v="5"/>
  </r>
  <r>
    <n v="1391"/>
    <s v="21-06-2024"/>
    <x v="4"/>
    <x v="2"/>
    <x v="2"/>
    <x v="1"/>
    <n v="2"/>
    <n v="50000"/>
    <n v="100000"/>
    <d v="2024-06-21T00:00:00"/>
    <x v="3"/>
  </r>
  <r>
    <n v="1392"/>
    <s v="27-07-2024"/>
    <x v="3"/>
    <x v="0"/>
    <x v="1"/>
    <x v="0"/>
    <n v="1"/>
    <n v="3000"/>
    <n v="3000"/>
    <d v="2024-07-27T00:00:00"/>
    <x v="5"/>
  </r>
  <r>
    <n v="1393"/>
    <s v="02-09-2024"/>
    <x v="1"/>
    <x v="2"/>
    <x v="3"/>
    <x v="1"/>
    <n v="1"/>
    <n v="2500"/>
    <n v="2500"/>
    <d v="2024-09-02T00:00:00"/>
    <x v="2"/>
  </r>
  <r>
    <n v="1394"/>
    <s v="29-12-2024"/>
    <x v="0"/>
    <x v="0"/>
    <x v="6"/>
    <x v="2"/>
    <n v="2"/>
    <n v="5000"/>
    <n v="10000"/>
    <d v="2024-12-29T00:00:00"/>
    <x v="6"/>
  </r>
  <r>
    <n v="1395"/>
    <s v="11-09-2024"/>
    <x v="5"/>
    <x v="4"/>
    <x v="2"/>
    <x v="1"/>
    <n v="4"/>
    <n v="50000"/>
    <n v="200000"/>
    <d v="2024-09-11T00:00:00"/>
    <x v="2"/>
  </r>
  <r>
    <n v="1396"/>
    <s v="16-08-2024"/>
    <x v="3"/>
    <x v="4"/>
    <x v="7"/>
    <x v="0"/>
    <n v="5"/>
    <n v="2000"/>
    <n v="10000"/>
    <d v="2024-08-16T00:00:00"/>
    <x v="4"/>
  </r>
  <r>
    <n v="1397"/>
    <s v="05-11-2024"/>
    <x v="6"/>
    <x v="4"/>
    <x v="0"/>
    <x v="0"/>
    <n v="4"/>
    <n v="800"/>
    <n v="3200"/>
    <d v="2024-11-05T00:00:00"/>
    <x v="9"/>
  </r>
  <r>
    <n v="1398"/>
    <s v="04-08-2024"/>
    <x v="6"/>
    <x v="0"/>
    <x v="6"/>
    <x v="2"/>
    <n v="4"/>
    <n v="5000"/>
    <n v="20000"/>
    <d v="2024-08-04T00:00:00"/>
    <x v="4"/>
  </r>
  <r>
    <n v="1399"/>
    <s v="21-09-2024"/>
    <x v="11"/>
    <x v="5"/>
    <x v="3"/>
    <x v="1"/>
    <n v="4"/>
    <n v="2500"/>
    <n v="10000"/>
    <d v="2024-09-21T00:00:00"/>
    <x v="2"/>
  </r>
  <r>
    <n v="1400"/>
    <s v="20-06-2024"/>
    <x v="7"/>
    <x v="2"/>
    <x v="7"/>
    <x v="0"/>
    <n v="1"/>
    <n v="2000"/>
    <n v="2000"/>
    <d v="2024-06-20T00:00:00"/>
    <x v="3"/>
  </r>
  <r>
    <n v="1401"/>
    <s v="04-01-2024"/>
    <x v="9"/>
    <x v="0"/>
    <x v="0"/>
    <x v="0"/>
    <n v="4"/>
    <n v="800"/>
    <n v="3200"/>
    <d v="2024-01-04T00:00:00"/>
    <x v="11"/>
  </r>
  <r>
    <n v="1402"/>
    <s v="14-11-2024"/>
    <x v="10"/>
    <x v="5"/>
    <x v="2"/>
    <x v="1"/>
    <n v="4"/>
    <n v="50000"/>
    <n v="200000"/>
    <d v="2024-11-14T00:00:00"/>
    <x v="9"/>
  </r>
  <r>
    <n v="1403"/>
    <s v="09-05-2024"/>
    <x v="1"/>
    <x v="6"/>
    <x v="6"/>
    <x v="2"/>
    <n v="3"/>
    <n v="5000"/>
    <n v="15000"/>
    <d v="2024-05-09T00:00:00"/>
    <x v="8"/>
  </r>
  <r>
    <n v="1404"/>
    <s v="09-11-2024"/>
    <x v="9"/>
    <x v="1"/>
    <x v="5"/>
    <x v="2"/>
    <n v="2"/>
    <n v="1500"/>
    <n v="3000"/>
    <d v="2024-11-09T00:00:00"/>
    <x v="9"/>
  </r>
  <r>
    <n v="1405"/>
    <s v="17-05-2024"/>
    <x v="11"/>
    <x v="2"/>
    <x v="4"/>
    <x v="1"/>
    <n v="5"/>
    <n v="20000"/>
    <n v="100000"/>
    <d v="2024-05-17T00:00:00"/>
    <x v="8"/>
  </r>
  <r>
    <n v="1406"/>
    <s v="30-09-2024"/>
    <x v="2"/>
    <x v="3"/>
    <x v="3"/>
    <x v="1"/>
    <n v="1"/>
    <n v="2500"/>
    <n v="2500"/>
    <d v="2024-09-30T00:00:00"/>
    <x v="2"/>
  </r>
  <r>
    <n v="1407"/>
    <s v="09-08-2024"/>
    <x v="7"/>
    <x v="5"/>
    <x v="1"/>
    <x v="0"/>
    <n v="3"/>
    <n v="3000"/>
    <n v="9000"/>
    <d v="2024-08-09T00:00:00"/>
    <x v="4"/>
  </r>
  <r>
    <n v="1408"/>
    <s v="22-05-2024"/>
    <x v="2"/>
    <x v="6"/>
    <x v="0"/>
    <x v="0"/>
    <n v="3"/>
    <n v="800"/>
    <n v="2400"/>
    <d v="2024-05-22T00:00:00"/>
    <x v="8"/>
  </r>
  <r>
    <n v="1409"/>
    <s v="26-12-2024"/>
    <x v="9"/>
    <x v="4"/>
    <x v="1"/>
    <x v="0"/>
    <n v="2"/>
    <n v="3000"/>
    <n v="6000"/>
    <d v="2024-12-26T00:00:00"/>
    <x v="6"/>
  </r>
  <r>
    <n v="1410"/>
    <s v="18-10-2024"/>
    <x v="10"/>
    <x v="0"/>
    <x v="6"/>
    <x v="2"/>
    <n v="2"/>
    <n v="5000"/>
    <n v="10000"/>
    <d v="2024-10-18T00:00:00"/>
    <x v="1"/>
  </r>
  <r>
    <n v="1411"/>
    <s v="30-10-2024"/>
    <x v="5"/>
    <x v="2"/>
    <x v="2"/>
    <x v="1"/>
    <n v="2"/>
    <n v="50000"/>
    <n v="100000"/>
    <d v="2024-10-30T00:00:00"/>
    <x v="1"/>
  </r>
  <r>
    <n v="1412"/>
    <s v="14-12-2024"/>
    <x v="11"/>
    <x v="4"/>
    <x v="0"/>
    <x v="0"/>
    <n v="5"/>
    <n v="800"/>
    <n v="4000"/>
    <d v="2024-12-14T00:00:00"/>
    <x v="6"/>
  </r>
  <r>
    <n v="1413"/>
    <s v="04-09-2024"/>
    <x v="8"/>
    <x v="5"/>
    <x v="4"/>
    <x v="1"/>
    <n v="1"/>
    <n v="20000"/>
    <n v="20000"/>
    <d v="2024-09-04T00:00:00"/>
    <x v="2"/>
  </r>
  <r>
    <n v="1414"/>
    <s v="22-01-2024"/>
    <x v="3"/>
    <x v="4"/>
    <x v="3"/>
    <x v="1"/>
    <n v="3"/>
    <n v="2500"/>
    <n v="7500"/>
    <d v="2024-01-22T00:00:00"/>
    <x v="11"/>
  </r>
  <r>
    <n v="1415"/>
    <s v="23-11-2024"/>
    <x v="6"/>
    <x v="5"/>
    <x v="7"/>
    <x v="0"/>
    <n v="3"/>
    <n v="2000"/>
    <n v="6000"/>
    <d v="2024-11-23T00:00:00"/>
    <x v="9"/>
  </r>
  <r>
    <n v="1416"/>
    <s v="20-08-2024"/>
    <x v="11"/>
    <x v="2"/>
    <x v="6"/>
    <x v="2"/>
    <n v="4"/>
    <n v="5000"/>
    <n v="20000"/>
    <d v="2024-08-20T00:00:00"/>
    <x v="4"/>
  </r>
  <r>
    <n v="1417"/>
    <s v="12-09-2024"/>
    <x v="8"/>
    <x v="6"/>
    <x v="3"/>
    <x v="1"/>
    <n v="2"/>
    <n v="2500"/>
    <n v="5000"/>
    <d v="2024-09-12T00:00:00"/>
    <x v="2"/>
  </r>
  <r>
    <n v="1418"/>
    <s v="19-07-2024"/>
    <x v="8"/>
    <x v="5"/>
    <x v="3"/>
    <x v="1"/>
    <n v="4"/>
    <n v="2500"/>
    <n v="10000"/>
    <d v="2024-07-19T00:00:00"/>
    <x v="5"/>
  </r>
  <r>
    <n v="1419"/>
    <s v="24-02-2024"/>
    <x v="8"/>
    <x v="1"/>
    <x v="4"/>
    <x v="1"/>
    <n v="2"/>
    <n v="20000"/>
    <n v="40000"/>
    <d v="2024-02-24T00:00:00"/>
    <x v="10"/>
  </r>
  <r>
    <n v="1420"/>
    <s v="20-05-2024"/>
    <x v="7"/>
    <x v="1"/>
    <x v="4"/>
    <x v="1"/>
    <n v="3"/>
    <n v="20000"/>
    <n v="60000"/>
    <d v="2024-05-20T00:00:00"/>
    <x v="8"/>
  </r>
  <r>
    <n v="1421"/>
    <s v="21-08-2024"/>
    <x v="1"/>
    <x v="5"/>
    <x v="0"/>
    <x v="0"/>
    <n v="1"/>
    <n v="800"/>
    <n v="800"/>
    <d v="2024-08-21T00:00:00"/>
    <x v="4"/>
  </r>
  <r>
    <n v="1422"/>
    <s v="29-06-2024"/>
    <x v="3"/>
    <x v="4"/>
    <x v="0"/>
    <x v="0"/>
    <n v="3"/>
    <n v="800"/>
    <n v="2400"/>
    <d v="2024-06-29T00:00:00"/>
    <x v="3"/>
  </r>
  <r>
    <n v="1423"/>
    <s v="26-07-2024"/>
    <x v="8"/>
    <x v="3"/>
    <x v="0"/>
    <x v="0"/>
    <n v="2"/>
    <n v="800"/>
    <n v="1600"/>
    <d v="2024-07-26T00:00:00"/>
    <x v="5"/>
  </r>
  <r>
    <n v="1424"/>
    <s v="09-11-2024"/>
    <x v="4"/>
    <x v="3"/>
    <x v="0"/>
    <x v="0"/>
    <n v="4"/>
    <n v="800"/>
    <n v="3200"/>
    <d v="2024-11-09T00:00:00"/>
    <x v="9"/>
  </r>
  <r>
    <n v="1425"/>
    <s v="17-03-2024"/>
    <x v="1"/>
    <x v="1"/>
    <x v="4"/>
    <x v="1"/>
    <n v="5"/>
    <n v="20000"/>
    <n v="100000"/>
    <d v="2024-03-17T00:00:00"/>
    <x v="0"/>
  </r>
  <r>
    <n v="1426"/>
    <s v="19-05-2024"/>
    <x v="7"/>
    <x v="5"/>
    <x v="7"/>
    <x v="0"/>
    <n v="3"/>
    <n v="2000"/>
    <n v="6000"/>
    <d v="2024-05-19T00:00:00"/>
    <x v="8"/>
  </r>
  <r>
    <n v="1427"/>
    <s v="22-06-2024"/>
    <x v="8"/>
    <x v="5"/>
    <x v="1"/>
    <x v="0"/>
    <n v="1"/>
    <n v="3000"/>
    <n v="3000"/>
    <d v="2024-06-22T00:00:00"/>
    <x v="3"/>
  </r>
  <r>
    <n v="1428"/>
    <s v="17-02-2024"/>
    <x v="8"/>
    <x v="1"/>
    <x v="7"/>
    <x v="0"/>
    <n v="1"/>
    <n v="2000"/>
    <n v="2000"/>
    <d v="2024-02-17T00:00:00"/>
    <x v="10"/>
  </r>
  <r>
    <n v="1429"/>
    <s v="22-03-2024"/>
    <x v="11"/>
    <x v="0"/>
    <x v="0"/>
    <x v="0"/>
    <n v="4"/>
    <n v="800"/>
    <n v="3200"/>
    <d v="2024-03-22T00:00:00"/>
    <x v="0"/>
  </r>
  <r>
    <n v="1430"/>
    <s v="01-03-2024"/>
    <x v="4"/>
    <x v="4"/>
    <x v="3"/>
    <x v="1"/>
    <n v="4"/>
    <n v="2500"/>
    <n v="10000"/>
    <d v="2024-03-01T00:00:00"/>
    <x v="0"/>
  </r>
  <r>
    <n v="1431"/>
    <s v="31-10-2024"/>
    <x v="0"/>
    <x v="1"/>
    <x v="5"/>
    <x v="2"/>
    <n v="1"/>
    <n v="1500"/>
    <n v="1500"/>
    <d v="2024-10-31T00:00:00"/>
    <x v="1"/>
  </r>
  <r>
    <n v="1432"/>
    <s v="12-06-2024"/>
    <x v="9"/>
    <x v="0"/>
    <x v="2"/>
    <x v="1"/>
    <n v="4"/>
    <n v="50000"/>
    <n v="200000"/>
    <d v="2024-06-12T00:00:00"/>
    <x v="3"/>
  </r>
  <r>
    <n v="1433"/>
    <s v="20-08-2024"/>
    <x v="3"/>
    <x v="4"/>
    <x v="2"/>
    <x v="1"/>
    <n v="1"/>
    <n v="50000"/>
    <n v="50000"/>
    <d v="2024-08-20T00:00:00"/>
    <x v="4"/>
  </r>
  <r>
    <n v="1434"/>
    <s v="17-01-2024"/>
    <x v="3"/>
    <x v="1"/>
    <x v="6"/>
    <x v="2"/>
    <n v="1"/>
    <n v="5000"/>
    <n v="5000"/>
    <d v="2024-01-17T00:00:00"/>
    <x v="11"/>
  </r>
  <r>
    <n v="1435"/>
    <s v="19-05-2024"/>
    <x v="11"/>
    <x v="3"/>
    <x v="1"/>
    <x v="0"/>
    <n v="3"/>
    <n v="3000"/>
    <n v="9000"/>
    <d v="2024-05-19T00:00:00"/>
    <x v="8"/>
  </r>
  <r>
    <n v="1436"/>
    <s v="27-06-2024"/>
    <x v="3"/>
    <x v="0"/>
    <x v="0"/>
    <x v="0"/>
    <n v="2"/>
    <n v="800"/>
    <n v="1600"/>
    <d v="2024-06-27T00:00:00"/>
    <x v="3"/>
  </r>
  <r>
    <n v="1437"/>
    <s v="14-08-2024"/>
    <x v="6"/>
    <x v="5"/>
    <x v="7"/>
    <x v="0"/>
    <n v="4"/>
    <n v="2000"/>
    <n v="8000"/>
    <d v="2024-08-14T00:00:00"/>
    <x v="4"/>
  </r>
  <r>
    <n v="1438"/>
    <s v="14-01-2024"/>
    <x v="11"/>
    <x v="6"/>
    <x v="2"/>
    <x v="1"/>
    <n v="2"/>
    <n v="50000"/>
    <n v="100000"/>
    <d v="2024-01-14T00:00:00"/>
    <x v="11"/>
  </r>
  <r>
    <n v="1439"/>
    <s v="16-04-2024"/>
    <x v="10"/>
    <x v="3"/>
    <x v="0"/>
    <x v="0"/>
    <n v="3"/>
    <n v="800"/>
    <n v="2400"/>
    <d v="2024-04-16T00:00:00"/>
    <x v="7"/>
  </r>
  <r>
    <n v="1440"/>
    <s v="20-01-2024"/>
    <x v="11"/>
    <x v="2"/>
    <x v="1"/>
    <x v="0"/>
    <n v="1"/>
    <n v="3000"/>
    <n v="3000"/>
    <d v="2024-01-20T00:00:00"/>
    <x v="11"/>
  </r>
  <r>
    <n v="1441"/>
    <s v="15-07-2024"/>
    <x v="0"/>
    <x v="0"/>
    <x v="1"/>
    <x v="0"/>
    <n v="2"/>
    <n v="3000"/>
    <n v="6000"/>
    <d v="2024-07-15T00:00:00"/>
    <x v="5"/>
  </r>
  <r>
    <n v="1442"/>
    <s v="03-06-2024"/>
    <x v="10"/>
    <x v="5"/>
    <x v="5"/>
    <x v="2"/>
    <n v="3"/>
    <n v="1500"/>
    <n v="4500"/>
    <d v="2024-06-03T00:00:00"/>
    <x v="3"/>
  </r>
  <r>
    <n v="1443"/>
    <s v="23-01-2024"/>
    <x v="9"/>
    <x v="4"/>
    <x v="2"/>
    <x v="1"/>
    <n v="3"/>
    <n v="50000"/>
    <n v="150000"/>
    <d v="2024-01-23T00:00:00"/>
    <x v="11"/>
  </r>
  <r>
    <n v="1444"/>
    <s v="05-07-2024"/>
    <x v="1"/>
    <x v="3"/>
    <x v="5"/>
    <x v="2"/>
    <n v="1"/>
    <n v="1500"/>
    <n v="1500"/>
    <d v="2024-07-05T00:00:00"/>
    <x v="5"/>
  </r>
  <r>
    <n v="1445"/>
    <s v="08-04-2024"/>
    <x v="7"/>
    <x v="1"/>
    <x v="5"/>
    <x v="2"/>
    <n v="1"/>
    <n v="1500"/>
    <n v="1500"/>
    <d v="2024-04-08T00:00:00"/>
    <x v="7"/>
  </r>
  <r>
    <n v="1446"/>
    <s v="12-10-2024"/>
    <x v="7"/>
    <x v="2"/>
    <x v="7"/>
    <x v="0"/>
    <n v="2"/>
    <n v="2000"/>
    <n v="4000"/>
    <d v="2024-10-12T00:00:00"/>
    <x v="1"/>
  </r>
  <r>
    <n v="1447"/>
    <s v="21-03-2024"/>
    <x v="3"/>
    <x v="1"/>
    <x v="5"/>
    <x v="2"/>
    <n v="3"/>
    <n v="1500"/>
    <n v="4500"/>
    <d v="2024-03-21T00:00:00"/>
    <x v="0"/>
  </r>
  <r>
    <n v="1448"/>
    <s v="05-01-2024"/>
    <x v="9"/>
    <x v="3"/>
    <x v="4"/>
    <x v="1"/>
    <n v="2"/>
    <n v="20000"/>
    <n v="40000"/>
    <d v="2024-01-05T00:00:00"/>
    <x v="11"/>
  </r>
  <r>
    <n v="1449"/>
    <s v="19-10-2024"/>
    <x v="10"/>
    <x v="0"/>
    <x v="5"/>
    <x v="2"/>
    <n v="3"/>
    <n v="1500"/>
    <n v="4500"/>
    <d v="2024-10-19T00:00:00"/>
    <x v="1"/>
  </r>
  <r>
    <n v="1450"/>
    <s v="15-12-2024"/>
    <x v="6"/>
    <x v="3"/>
    <x v="5"/>
    <x v="2"/>
    <n v="2"/>
    <n v="1500"/>
    <n v="3000"/>
    <d v="2024-12-15T00:00:00"/>
    <x v="6"/>
  </r>
  <r>
    <n v="1451"/>
    <s v="21-12-2024"/>
    <x v="5"/>
    <x v="0"/>
    <x v="2"/>
    <x v="1"/>
    <n v="5"/>
    <n v="50000"/>
    <n v="250000"/>
    <d v="2024-12-21T00:00:00"/>
    <x v="6"/>
  </r>
  <r>
    <n v="1452"/>
    <s v="14-10-2024"/>
    <x v="11"/>
    <x v="1"/>
    <x v="0"/>
    <x v="0"/>
    <n v="2"/>
    <n v="800"/>
    <n v="1600"/>
    <d v="2024-10-14T00:00:00"/>
    <x v="1"/>
  </r>
  <r>
    <n v="1453"/>
    <s v="24-02-2024"/>
    <x v="7"/>
    <x v="3"/>
    <x v="1"/>
    <x v="0"/>
    <n v="2"/>
    <n v="3000"/>
    <n v="6000"/>
    <d v="2024-02-24T00:00:00"/>
    <x v="10"/>
  </r>
  <r>
    <n v="1454"/>
    <s v="16-02-2024"/>
    <x v="0"/>
    <x v="6"/>
    <x v="6"/>
    <x v="2"/>
    <n v="2"/>
    <n v="5000"/>
    <n v="10000"/>
    <d v="2024-02-16T00:00:00"/>
    <x v="10"/>
  </r>
  <r>
    <n v="1455"/>
    <s v="07-09-2024"/>
    <x v="11"/>
    <x v="2"/>
    <x v="0"/>
    <x v="0"/>
    <n v="2"/>
    <n v="800"/>
    <n v="1600"/>
    <d v="2024-09-07T00:00:00"/>
    <x v="2"/>
  </r>
  <r>
    <n v="1456"/>
    <s v="12-06-2024"/>
    <x v="9"/>
    <x v="3"/>
    <x v="3"/>
    <x v="1"/>
    <n v="1"/>
    <n v="2500"/>
    <n v="2500"/>
    <d v="2024-06-12T00:00:00"/>
    <x v="3"/>
  </r>
  <r>
    <n v="1457"/>
    <s v="17-07-2024"/>
    <x v="11"/>
    <x v="3"/>
    <x v="3"/>
    <x v="1"/>
    <n v="2"/>
    <n v="2500"/>
    <n v="5000"/>
    <d v="2024-07-17T00:00:00"/>
    <x v="5"/>
  </r>
  <r>
    <n v="1458"/>
    <s v="28-07-2024"/>
    <x v="1"/>
    <x v="5"/>
    <x v="0"/>
    <x v="0"/>
    <n v="1"/>
    <n v="800"/>
    <n v="800"/>
    <d v="2024-07-28T00:00:00"/>
    <x v="5"/>
  </r>
  <r>
    <n v="1459"/>
    <s v="27-12-2024"/>
    <x v="11"/>
    <x v="5"/>
    <x v="5"/>
    <x v="2"/>
    <n v="1"/>
    <n v="1500"/>
    <n v="1500"/>
    <d v="2024-12-27T00:00:00"/>
    <x v="6"/>
  </r>
  <r>
    <n v="1460"/>
    <s v="02-04-2024"/>
    <x v="3"/>
    <x v="0"/>
    <x v="3"/>
    <x v="1"/>
    <n v="4"/>
    <n v="2500"/>
    <n v="10000"/>
    <d v="2024-04-02T00:00:00"/>
    <x v="7"/>
  </r>
  <r>
    <n v="1461"/>
    <s v="13-05-2024"/>
    <x v="9"/>
    <x v="5"/>
    <x v="0"/>
    <x v="0"/>
    <n v="2"/>
    <n v="800"/>
    <n v="1600"/>
    <d v="2024-05-13T00:00:00"/>
    <x v="8"/>
  </r>
  <r>
    <n v="1462"/>
    <s v="10-09-2024"/>
    <x v="3"/>
    <x v="4"/>
    <x v="2"/>
    <x v="1"/>
    <n v="2"/>
    <n v="50000"/>
    <n v="100000"/>
    <d v="2024-09-10T00:00:00"/>
    <x v="2"/>
  </r>
  <r>
    <n v="1463"/>
    <s v="11-08-2024"/>
    <x v="9"/>
    <x v="0"/>
    <x v="2"/>
    <x v="1"/>
    <n v="2"/>
    <n v="50000"/>
    <n v="100000"/>
    <d v="2024-08-11T00:00:00"/>
    <x v="4"/>
  </r>
  <r>
    <n v="1464"/>
    <s v="29-03-2024"/>
    <x v="2"/>
    <x v="5"/>
    <x v="7"/>
    <x v="0"/>
    <n v="2"/>
    <n v="2000"/>
    <n v="4000"/>
    <d v="2024-03-29T00:00:00"/>
    <x v="0"/>
  </r>
  <r>
    <n v="1465"/>
    <s v="08-06-2024"/>
    <x v="7"/>
    <x v="6"/>
    <x v="3"/>
    <x v="1"/>
    <n v="5"/>
    <n v="2500"/>
    <n v="12500"/>
    <d v="2024-06-08T00:00:00"/>
    <x v="3"/>
  </r>
  <r>
    <n v="1466"/>
    <s v="08-06-2024"/>
    <x v="6"/>
    <x v="3"/>
    <x v="4"/>
    <x v="1"/>
    <n v="2"/>
    <n v="20000"/>
    <n v="40000"/>
    <d v="2024-06-08T00:00:00"/>
    <x v="3"/>
  </r>
  <r>
    <n v="1467"/>
    <s v="21-12-2024"/>
    <x v="7"/>
    <x v="2"/>
    <x v="5"/>
    <x v="2"/>
    <n v="4"/>
    <n v="1500"/>
    <n v="6000"/>
    <d v="2024-12-21T00:00:00"/>
    <x v="6"/>
  </r>
  <r>
    <n v="1468"/>
    <s v="01-01-2024"/>
    <x v="0"/>
    <x v="6"/>
    <x v="4"/>
    <x v="1"/>
    <n v="2"/>
    <n v="20000"/>
    <n v="40000"/>
    <d v="2024-01-01T00:00:00"/>
    <x v="11"/>
  </r>
  <r>
    <n v="1469"/>
    <s v="27-10-2024"/>
    <x v="4"/>
    <x v="4"/>
    <x v="2"/>
    <x v="1"/>
    <n v="3"/>
    <n v="50000"/>
    <n v="150000"/>
    <d v="2024-10-27T00:00:00"/>
    <x v="1"/>
  </r>
  <r>
    <n v="1470"/>
    <s v="07-02-2024"/>
    <x v="9"/>
    <x v="4"/>
    <x v="0"/>
    <x v="0"/>
    <n v="4"/>
    <n v="800"/>
    <n v="3200"/>
    <d v="2024-02-07T00:00:00"/>
    <x v="10"/>
  </r>
  <r>
    <n v="1471"/>
    <s v="20-11-2024"/>
    <x v="10"/>
    <x v="2"/>
    <x v="6"/>
    <x v="2"/>
    <n v="1"/>
    <n v="5000"/>
    <n v="5000"/>
    <d v="2024-11-20T00:00:00"/>
    <x v="9"/>
  </r>
  <r>
    <n v="1472"/>
    <s v="09-07-2024"/>
    <x v="7"/>
    <x v="6"/>
    <x v="0"/>
    <x v="0"/>
    <n v="1"/>
    <n v="800"/>
    <n v="800"/>
    <d v="2024-07-09T00:00:00"/>
    <x v="5"/>
  </r>
  <r>
    <n v="1473"/>
    <s v="04-07-2024"/>
    <x v="0"/>
    <x v="6"/>
    <x v="3"/>
    <x v="1"/>
    <n v="1"/>
    <n v="2500"/>
    <n v="2500"/>
    <d v="2024-07-04T00:00:00"/>
    <x v="5"/>
  </r>
  <r>
    <n v="1474"/>
    <s v="21-11-2024"/>
    <x v="1"/>
    <x v="0"/>
    <x v="7"/>
    <x v="0"/>
    <n v="4"/>
    <n v="2000"/>
    <n v="8000"/>
    <d v="2024-11-21T00:00:00"/>
    <x v="9"/>
  </r>
  <r>
    <n v="1475"/>
    <s v="15-01-2024"/>
    <x v="2"/>
    <x v="1"/>
    <x v="4"/>
    <x v="1"/>
    <n v="4"/>
    <n v="20000"/>
    <n v="80000"/>
    <d v="2024-01-15T00:00:00"/>
    <x v="11"/>
  </r>
  <r>
    <n v="1476"/>
    <s v="19-08-2024"/>
    <x v="3"/>
    <x v="5"/>
    <x v="1"/>
    <x v="0"/>
    <n v="2"/>
    <n v="3000"/>
    <n v="6000"/>
    <d v="2024-08-19T00:00:00"/>
    <x v="4"/>
  </r>
  <r>
    <n v="1477"/>
    <s v="04-11-2024"/>
    <x v="10"/>
    <x v="0"/>
    <x v="3"/>
    <x v="1"/>
    <n v="1"/>
    <n v="2500"/>
    <n v="2500"/>
    <d v="2024-11-04T00:00:00"/>
    <x v="9"/>
  </r>
  <r>
    <n v="1478"/>
    <s v="07-06-2024"/>
    <x v="1"/>
    <x v="3"/>
    <x v="2"/>
    <x v="1"/>
    <n v="4"/>
    <n v="50000"/>
    <n v="200000"/>
    <d v="2024-06-07T00:00:00"/>
    <x v="3"/>
  </r>
  <r>
    <n v="1479"/>
    <s v="28-01-2024"/>
    <x v="8"/>
    <x v="2"/>
    <x v="2"/>
    <x v="1"/>
    <n v="2"/>
    <n v="50000"/>
    <n v="100000"/>
    <d v="2024-01-28T00:00:00"/>
    <x v="11"/>
  </r>
  <r>
    <n v="1480"/>
    <s v="24-06-2024"/>
    <x v="7"/>
    <x v="0"/>
    <x v="1"/>
    <x v="0"/>
    <n v="4"/>
    <n v="3000"/>
    <n v="12000"/>
    <d v="2024-06-24T00:00:00"/>
    <x v="3"/>
  </r>
  <r>
    <n v="1481"/>
    <s v="12-12-2024"/>
    <x v="1"/>
    <x v="0"/>
    <x v="7"/>
    <x v="0"/>
    <n v="3"/>
    <n v="2000"/>
    <n v="6000"/>
    <d v="2024-12-12T00:00:00"/>
    <x v="6"/>
  </r>
  <r>
    <n v="1482"/>
    <s v="14-03-2024"/>
    <x v="2"/>
    <x v="3"/>
    <x v="0"/>
    <x v="0"/>
    <n v="1"/>
    <n v="800"/>
    <n v="800"/>
    <d v="2024-03-14T00:00:00"/>
    <x v="0"/>
  </r>
  <r>
    <n v="1483"/>
    <s v="14-03-2024"/>
    <x v="8"/>
    <x v="1"/>
    <x v="4"/>
    <x v="1"/>
    <n v="4"/>
    <n v="20000"/>
    <n v="80000"/>
    <d v="2024-03-14T00:00:00"/>
    <x v="0"/>
  </r>
  <r>
    <n v="1484"/>
    <s v="01-06-2024"/>
    <x v="1"/>
    <x v="5"/>
    <x v="4"/>
    <x v="1"/>
    <n v="2"/>
    <n v="20000"/>
    <n v="40000"/>
    <d v="2024-06-01T00:00:00"/>
    <x v="3"/>
  </r>
  <r>
    <n v="1485"/>
    <s v="30-08-2024"/>
    <x v="11"/>
    <x v="5"/>
    <x v="3"/>
    <x v="1"/>
    <n v="5"/>
    <n v="2500"/>
    <n v="12500"/>
    <d v="2024-08-30T00:00:00"/>
    <x v="4"/>
  </r>
  <r>
    <n v="1486"/>
    <s v="20-06-2024"/>
    <x v="9"/>
    <x v="3"/>
    <x v="7"/>
    <x v="0"/>
    <n v="1"/>
    <n v="2000"/>
    <n v="2000"/>
    <d v="2024-06-20T00:00:00"/>
    <x v="3"/>
  </r>
  <r>
    <n v="1487"/>
    <s v="05-05-2024"/>
    <x v="0"/>
    <x v="5"/>
    <x v="7"/>
    <x v="0"/>
    <n v="4"/>
    <n v="2000"/>
    <n v="8000"/>
    <d v="2024-05-05T00:00:00"/>
    <x v="8"/>
  </r>
  <r>
    <n v="1488"/>
    <s v="08-04-2024"/>
    <x v="8"/>
    <x v="6"/>
    <x v="5"/>
    <x v="2"/>
    <n v="2"/>
    <n v="1500"/>
    <n v="3000"/>
    <d v="2024-04-08T00:00:00"/>
    <x v="7"/>
  </r>
  <r>
    <n v="1489"/>
    <s v="08-10-2024"/>
    <x v="7"/>
    <x v="0"/>
    <x v="4"/>
    <x v="1"/>
    <n v="2"/>
    <n v="20000"/>
    <n v="40000"/>
    <d v="2024-10-08T00:00:00"/>
    <x v="1"/>
  </r>
  <r>
    <n v="1490"/>
    <s v="02-05-2024"/>
    <x v="9"/>
    <x v="0"/>
    <x v="2"/>
    <x v="1"/>
    <n v="2"/>
    <n v="50000"/>
    <n v="100000"/>
    <d v="2024-05-02T00:00:00"/>
    <x v="8"/>
  </r>
  <r>
    <n v="1491"/>
    <s v="14-06-2024"/>
    <x v="8"/>
    <x v="0"/>
    <x v="3"/>
    <x v="1"/>
    <n v="5"/>
    <n v="2500"/>
    <n v="12500"/>
    <d v="2024-06-14T00:00:00"/>
    <x v="3"/>
  </r>
  <r>
    <n v="1492"/>
    <s v="10-04-2024"/>
    <x v="10"/>
    <x v="2"/>
    <x v="0"/>
    <x v="0"/>
    <n v="1"/>
    <n v="800"/>
    <n v="800"/>
    <d v="2024-04-10T00:00:00"/>
    <x v="7"/>
  </r>
  <r>
    <n v="1493"/>
    <s v="22-11-2024"/>
    <x v="7"/>
    <x v="4"/>
    <x v="1"/>
    <x v="0"/>
    <n v="4"/>
    <n v="3000"/>
    <n v="12000"/>
    <d v="2024-11-22T00:00:00"/>
    <x v="9"/>
  </r>
  <r>
    <n v="1494"/>
    <s v="08-01-2024"/>
    <x v="9"/>
    <x v="0"/>
    <x v="4"/>
    <x v="1"/>
    <n v="4"/>
    <n v="20000"/>
    <n v="80000"/>
    <d v="2024-01-08T00:00:00"/>
    <x v="11"/>
  </r>
  <r>
    <n v="1495"/>
    <s v="28-06-2024"/>
    <x v="4"/>
    <x v="4"/>
    <x v="5"/>
    <x v="2"/>
    <n v="4"/>
    <n v="1500"/>
    <n v="6000"/>
    <d v="2024-06-28T00:00:00"/>
    <x v="3"/>
  </r>
  <r>
    <n v="1496"/>
    <s v="12-08-2024"/>
    <x v="6"/>
    <x v="1"/>
    <x v="4"/>
    <x v="1"/>
    <n v="3"/>
    <n v="20000"/>
    <n v="60000"/>
    <d v="2024-08-12T00:00:00"/>
    <x v="4"/>
  </r>
  <r>
    <n v="1497"/>
    <s v="02-11-2024"/>
    <x v="5"/>
    <x v="6"/>
    <x v="0"/>
    <x v="0"/>
    <n v="5"/>
    <n v="800"/>
    <n v="4000"/>
    <d v="2024-11-02T00:00:00"/>
    <x v="9"/>
  </r>
  <r>
    <n v="1498"/>
    <s v="16-10-2024"/>
    <x v="4"/>
    <x v="1"/>
    <x v="5"/>
    <x v="2"/>
    <n v="1"/>
    <n v="1500"/>
    <n v="1500"/>
    <d v="2024-10-16T00:00:00"/>
    <x v="1"/>
  </r>
  <r>
    <n v="1499"/>
    <s v="27-11-2024"/>
    <x v="2"/>
    <x v="3"/>
    <x v="5"/>
    <x v="2"/>
    <n v="1"/>
    <n v="1500"/>
    <n v="1500"/>
    <d v="2024-11-27T00:00:00"/>
    <x v="9"/>
  </r>
  <r>
    <n v="1500"/>
    <s v="21-09-2024"/>
    <x v="6"/>
    <x v="3"/>
    <x v="0"/>
    <x v="0"/>
    <n v="4"/>
    <n v="800"/>
    <n v="3200"/>
    <d v="2024-09-21T00:00:00"/>
    <x v="2"/>
  </r>
  <r>
    <n v="1501"/>
    <s v="07-09-2024"/>
    <x v="4"/>
    <x v="2"/>
    <x v="3"/>
    <x v="1"/>
    <n v="4"/>
    <n v="2500"/>
    <n v="10000"/>
    <d v="2024-09-07T00:00:00"/>
    <x v="2"/>
  </r>
  <r>
    <n v="1502"/>
    <s v="28-11-2024"/>
    <x v="3"/>
    <x v="5"/>
    <x v="6"/>
    <x v="2"/>
    <n v="2"/>
    <n v="5000"/>
    <n v="10000"/>
    <d v="2024-11-28T00:00:00"/>
    <x v="9"/>
  </r>
  <r>
    <n v="1503"/>
    <s v="29-08-2024"/>
    <x v="1"/>
    <x v="3"/>
    <x v="6"/>
    <x v="2"/>
    <n v="2"/>
    <n v="5000"/>
    <n v="10000"/>
    <d v="2024-08-29T00:00:00"/>
    <x v="4"/>
  </r>
  <r>
    <n v="1504"/>
    <s v="09-07-2024"/>
    <x v="11"/>
    <x v="6"/>
    <x v="4"/>
    <x v="1"/>
    <n v="2"/>
    <n v="20000"/>
    <n v="40000"/>
    <d v="2024-07-09T00:00:00"/>
    <x v="5"/>
  </r>
  <r>
    <n v="1505"/>
    <s v="24-03-2024"/>
    <x v="4"/>
    <x v="0"/>
    <x v="6"/>
    <x v="2"/>
    <n v="2"/>
    <n v="5000"/>
    <n v="10000"/>
    <d v="2024-03-24T00:00:00"/>
    <x v="0"/>
  </r>
  <r>
    <n v="1506"/>
    <s v="01-05-2024"/>
    <x v="9"/>
    <x v="0"/>
    <x v="7"/>
    <x v="0"/>
    <n v="4"/>
    <n v="2000"/>
    <n v="8000"/>
    <d v="2024-05-01T00:00:00"/>
    <x v="8"/>
  </r>
  <r>
    <n v="1507"/>
    <s v="29-12-2024"/>
    <x v="9"/>
    <x v="0"/>
    <x v="3"/>
    <x v="1"/>
    <n v="5"/>
    <n v="2500"/>
    <n v="12500"/>
    <d v="2024-12-29T00:00:00"/>
    <x v="6"/>
  </r>
  <r>
    <n v="1508"/>
    <s v="11-07-2024"/>
    <x v="0"/>
    <x v="0"/>
    <x v="5"/>
    <x v="2"/>
    <n v="3"/>
    <n v="1500"/>
    <n v="4500"/>
    <d v="2024-07-11T00:00:00"/>
    <x v="5"/>
  </r>
  <r>
    <n v="1509"/>
    <s v="10-04-2024"/>
    <x v="4"/>
    <x v="5"/>
    <x v="6"/>
    <x v="2"/>
    <n v="3"/>
    <n v="5000"/>
    <n v="15000"/>
    <d v="2024-04-10T00:00:00"/>
    <x v="7"/>
  </r>
  <r>
    <n v="1510"/>
    <s v="18-07-2024"/>
    <x v="6"/>
    <x v="0"/>
    <x v="0"/>
    <x v="0"/>
    <n v="3"/>
    <n v="800"/>
    <n v="2400"/>
    <d v="2024-07-18T00:00:00"/>
    <x v="5"/>
  </r>
  <r>
    <n v="1511"/>
    <s v="07-07-2024"/>
    <x v="4"/>
    <x v="2"/>
    <x v="2"/>
    <x v="1"/>
    <n v="2"/>
    <n v="50000"/>
    <n v="100000"/>
    <d v="2024-07-07T00:00:00"/>
    <x v="5"/>
  </r>
  <r>
    <n v="1512"/>
    <s v="23-04-2024"/>
    <x v="6"/>
    <x v="0"/>
    <x v="0"/>
    <x v="0"/>
    <n v="1"/>
    <n v="800"/>
    <n v="800"/>
    <d v="2024-04-23T00:00:00"/>
    <x v="7"/>
  </r>
  <r>
    <n v="1513"/>
    <s v="29-02-2024"/>
    <x v="3"/>
    <x v="0"/>
    <x v="6"/>
    <x v="2"/>
    <n v="3"/>
    <n v="5000"/>
    <n v="15000"/>
    <d v="2024-02-29T00:00:00"/>
    <x v="10"/>
  </r>
  <r>
    <n v="1514"/>
    <s v="16-05-2024"/>
    <x v="10"/>
    <x v="0"/>
    <x v="5"/>
    <x v="2"/>
    <n v="2"/>
    <n v="1500"/>
    <n v="3000"/>
    <d v="2024-05-16T00:00:00"/>
    <x v="8"/>
  </r>
  <r>
    <n v="1515"/>
    <s v="23-08-2024"/>
    <x v="9"/>
    <x v="2"/>
    <x v="7"/>
    <x v="0"/>
    <n v="1"/>
    <n v="2000"/>
    <n v="2000"/>
    <d v="2024-08-23T00:00:00"/>
    <x v="4"/>
  </r>
  <r>
    <n v="1516"/>
    <s v="28-10-2024"/>
    <x v="6"/>
    <x v="5"/>
    <x v="0"/>
    <x v="0"/>
    <n v="2"/>
    <n v="800"/>
    <n v="1600"/>
    <d v="2024-10-28T00:00:00"/>
    <x v="1"/>
  </r>
  <r>
    <n v="1517"/>
    <s v="01-01-2024"/>
    <x v="3"/>
    <x v="3"/>
    <x v="6"/>
    <x v="2"/>
    <n v="3"/>
    <n v="5000"/>
    <n v="15000"/>
    <d v="2024-01-01T00:00:00"/>
    <x v="11"/>
  </r>
  <r>
    <n v="1518"/>
    <s v="04-01-2024"/>
    <x v="1"/>
    <x v="2"/>
    <x v="2"/>
    <x v="1"/>
    <n v="2"/>
    <n v="50000"/>
    <n v="100000"/>
    <d v="2024-01-04T00:00:00"/>
    <x v="11"/>
  </r>
  <r>
    <n v="1519"/>
    <s v="20-10-2024"/>
    <x v="10"/>
    <x v="2"/>
    <x v="2"/>
    <x v="1"/>
    <n v="2"/>
    <n v="50000"/>
    <n v="100000"/>
    <d v="2024-10-20T00:00:00"/>
    <x v="1"/>
  </r>
  <r>
    <n v="1520"/>
    <s v="02-12-2024"/>
    <x v="11"/>
    <x v="2"/>
    <x v="0"/>
    <x v="0"/>
    <n v="2"/>
    <n v="800"/>
    <n v="1600"/>
    <d v="2024-12-02T00:00:00"/>
    <x v="6"/>
  </r>
  <r>
    <n v="1521"/>
    <s v="15-12-2024"/>
    <x v="6"/>
    <x v="5"/>
    <x v="0"/>
    <x v="0"/>
    <n v="1"/>
    <n v="800"/>
    <n v="800"/>
    <d v="2024-12-15T00:00:00"/>
    <x v="6"/>
  </r>
  <r>
    <n v="1522"/>
    <s v="03-01-2024"/>
    <x v="7"/>
    <x v="5"/>
    <x v="3"/>
    <x v="1"/>
    <n v="3"/>
    <n v="2500"/>
    <n v="7500"/>
    <d v="2024-01-03T00:00:00"/>
    <x v="11"/>
  </r>
  <r>
    <n v="1523"/>
    <s v="10-02-2024"/>
    <x v="1"/>
    <x v="5"/>
    <x v="1"/>
    <x v="0"/>
    <n v="3"/>
    <n v="3000"/>
    <n v="9000"/>
    <d v="2024-02-10T00:00:00"/>
    <x v="10"/>
  </r>
  <r>
    <n v="1524"/>
    <s v="13-04-2024"/>
    <x v="7"/>
    <x v="1"/>
    <x v="5"/>
    <x v="2"/>
    <n v="1"/>
    <n v="1500"/>
    <n v="1500"/>
    <d v="2024-04-13T00:00:00"/>
    <x v="7"/>
  </r>
  <r>
    <n v="1525"/>
    <s v="22-11-2024"/>
    <x v="10"/>
    <x v="5"/>
    <x v="2"/>
    <x v="1"/>
    <n v="5"/>
    <n v="50000"/>
    <n v="250000"/>
    <d v="2024-11-22T00:00:00"/>
    <x v="9"/>
  </r>
  <r>
    <n v="1526"/>
    <s v="20-08-2024"/>
    <x v="1"/>
    <x v="5"/>
    <x v="0"/>
    <x v="0"/>
    <n v="2"/>
    <n v="800"/>
    <n v="1600"/>
    <d v="2024-08-20T00:00:00"/>
    <x v="4"/>
  </r>
  <r>
    <n v="1527"/>
    <s v="22-06-2024"/>
    <x v="10"/>
    <x v="2"/>
    <x v="0"/>
    <x v="0"/>
    <n v="4"/>
    <n v="800"/>
    <n v="3200"/>
    <d v="2024-06-22T00:00:00"/>
    <x v="3"/>
  </r>
  <r>
    <n v="1528"/>
    <s v="09-02-2024"/>
    <x v="4"/>
    <x v="2"/>
    <x v="1"/>
    <x v="0"/>
    <n v="5"/>
    <n v="3000"/>
    <n v="15000"/>
    <d v="2024-02-09T00:00:00"/>
    <x v="10"/>
  </r>
  <r>
    <n v="1529"/>
    <s v="16-09-2024"/>
    <x v="5"/>
    <x v="6"/>
    <x v="3"/>
    <x v="1"/>
    <n v="5"/>
    <n v="2500"/>
    <n v="12500"/>
    <d v="2024-09-16T00:00:00"/>
    <x v="2"/>
  </r>
  <r>
    <n v="1530"/>
    <s v="13-08-2024"/>
    <x v="1"/>
    <x v="5"/>
    <x v="4"/>
    <x v="1"/>
    <n v="5"/>
    <n v="20000"/>
    <n v="100000"/>
    <d v="2024-08-13T00:00:00"/>
    <x v="4"/>
  </r>
  <r>
    <n v="1531"/>
    <s v="24-06-2024"/>
    <x v="10"/>
    <x v="0"/>
    <x v="0"/>
    <x v="0"/>
    <n v="4"/>
    <n v="800"/>
    <n v="3200"/>
    <d v="2024-06-24T00:00:00"/>
    <x v="3"/>
  </r>
  <r>
    <n v="1532"/>
    <s v="10-11-2024"/>
    <x v="0"/>
    <x v="6"/>
    <x v="3"/>
    <x v="1"/>
    <n v="4"/>
    <n v="2500"/>
    <n v="10000"/>
    <d v="2024-11-10T00:00:00"/>
    <x v="9"/>
  </r>
  <r>
    <n v="1533"/>
    <s v="02-06-2024"/>
    <x v="3"/>
    <x v="3"/>
    <x v="4"/>
    <x v="1"/>
    <n v="5"/>
    <n v="20000"/>
    <n v="100000"/>
    <d v="2024-06-02T00:00:00"/>
    <x v="3"/>
  </r>
  <r>
    <n v="1534"/>
    <s v="19-06-2024"/>
    <x v="1"/>
    <x v="2"/>
    <x v="6"/>
    <x v="2"/>
    <n v="5"/>
    <n v="5000"/>
    <n v="25000"/>
    <d v="2024-06-19T00:00:00"/>
    <x v="3"/>
  </r>
  <r>
    <n v="1535"/>
    <s v="13-01-2024"/>
    <x v="3"/>
    <x v="5"/>
    <x v="2"/>
    <x v="1"/>
    <n v="2"/>
    <n v="50000"/>
    <n v="100000"/>
    <d v="2024-01-13T00:00:00"/>
    <x v="11"/>
  </r>
  <r>
    <n v="1536"/>
    <s v="14-12-2024"/>
    <x v="2"/>
    <x v="5"/>
    <x v="5"/>
    <x v="2"/>
    <n v="5"/>
    <n v="1500"/>
    <n v="7500"/>
    <d v="2024-12-14T00:00:00"/>
    <x v="6"/>
  </r>
  <r>
    <n v="1537"/>
    <s v="01-06-2024"/>
    <x v="3"/>
    <x v="3"/>
    <x v="2"/>
    <x v="1"/>
    <n v="5"/>
    <n v="50000"/>
    <n v="250000"/>
    <d v="2024-06-01T00:00:00"/>
    <x v="3"/>
  </r>
  <r>
    <n v="1538"/>
    <s v="19-12-2024"/>
    <x v="7"/>
    <x v="4"/>
    <x v="0"/>
    <x v="0"/>
    <n v="1"/>
    <n v="800"/>
    <n v="800"/>
    <d v="2024-12-19T00:00:00"/>
    <x v="6"/>
  </r>
  <r>
    <n v="1539"/>
    <s v="16-11-2024"/>
    <x v="7"/>
    <x v="2"/>
    <x v="0"/>
    <x v="0"/>
    <n v="4"/>
    <n v="800"/>
    <n v="3200"/>
    <d v="2024-11-16T00:00:00"/>
    <x v="9"/>
  </r>
  <r>
    <n v="1540"/>
    <s v="10-05-2024"/>
    <x v="0"/>
    <x v="1"/>
    <x v="5"/>
    <x v="2"/>
    <n v="2"/>
    <n v="1500"/>
    <n v="3000"/>
    <d v="2024-05-10T00:00:00"/>
    <x v="8"/>
  </r>
  <r>
    <n v="1541"/>
    <s v="21-07-2024"/>
    <x v="1"/>
    <x v="5"/>
    <x v="6"/>
    <x v="2"/>
    <n v="2"/>
    <n v="5000"/>
    <n v="10000"/>
    <d v="2024-07-21T00:00:00"/>
    <x v="5"/>
  </r>
  <r>
    <n v="1542"/>
    <s v="23-12-2024"/>
    <x v="9"/>
    <x v="5"/>
    <x v="3"/>
    <x v="1"/>
    <n v="1"/>
    <n v="2500"/>
    <n v="2500"/>
    <d v="2024-12-23T00:00:00"/>
    <x v="6"/>
  </r>
  <r>
    <n v="1543"/>
    <s v="28-02-2024"/>
    <x v="11"/>
    <x v="1"/>
    <x v="0"/>
    <x v="0"/>
    <n v="5"/>
    <n v="800"/>
    <n v="4000"/>
    <d v="2024-02-28T00:00:00"/>
    <x v="10"/>
  </r>
  <r>
    <n v="1544"/>
    <s v="02-03-2024"/>
    <x v="7"/>
    <x v="5"/>
    <x v="4"/>
    <x v="1"/>
    <n v="2"/>
    <n v="20000"/>
    <n v="40000"/>
    <d v="2024-03-02T00:00:00"/>
    <x v="0"/>
  </r>
  <r>
    <n v="1545"/>
    <s v="06-11-2024"/>
    <x v="7"/>
    <x v="0"/>
    <x v="3"/>
    <x v="1"/>
    <n v="1"/>
    <n v="2500"/>
    <n v="2500"/>
    <d v="2024-11-06T00:00:00"/>
    <x v="9"/>
  </r>
  <r>
    <n v="1546"/>
    <s v="10-07-2024"/>
    <x v="2"/>
    <x v="4"/>
    <x v="6"/>
    <x v="2"/>
    <n v="4"/>
    <n v="5000"/>
    <n v="20000"/>
    <d v="2024-07-10T00:00:00"/>
    <x v="5"/>
  </r>
  <r>
    <n v="1547"/>
    <s v="27-07-2024"/>
    <x v="10"/>
    <x v="5"/>
    <x v="3"/>
    <x v="1"/>
    <n v="5"/>
    <n v="2500"/>
    <n v="12500"/>
    <d v="2024-07-27T00:00:00"/>
    <x v="5"/>
  </r>
  <r>
    <n v="1548"/>
    <s v="08-02-2024"/>
    <x v="9"/>
    <x v="1"/>
    <x v="4"/>
    <x v="1"/>
    <n v="2"/>
    <n v="20000"/>
    <n v="40000"/>
    <d v="2024-02-08T00:00:00"/>
    <x v="10"/>
  </r>
  <r>
    <n v="1549"/>
    <s v="16-09-2024"/>
    <x v="10"/>
    <x v="6"/>
    <x v="1"/>
    <x v="0"/>
    <n v="5"/>
    <n v="3000"/>
    <n v="15000"/>
    <d v="2024-09-16T00:00:00"/>
    <x v="2"/>
  </r>
  <r>
    <n v="1550"/>
    <s v="08-02-2024"/>
    <x v="5"/>
    <x v="6"/>
    <x v="1"/>
    <x v="0"/>
    <n v="3"/>
    <n v="3000"/>
    <n v="9000"/>
    <d v="2024-02-08T00:00:00"/>
    <x v="10"/>
  </r>
  <r>
    <n v="1551"/>
    <s v="21-10-2024"/>
    <x v="5"/>
    <x v="2"/>
    <x v="4"/>
    <x v="1"/>
    <n v="2"/>
    <n v="20000"/>
    <n v="40000"/>
    <d v="2024-10-21T00:00:00"/>
    <x v="1"/>
  </r>
  <r>
    <n v="1552"/>
    <s v="08-08-2024"/>
    <x v="5"/>
    <x v="1"/>
    <x v="5"/>
    <x v="2"/>
    <n v="3"/>
    <n v="1500"/>
    <n v="4500"/>
    <d v="2024-08-08T00:00:00"/>
    <x v="4"/>
  </r>
  <r>
    <n v="1553"/>
    <s v="31-10-2024"/>
    <x v="4"/>
    <x v="6"/>
    <x v="5"/>
    <x v="2"/>
    <n v="2"/>
    <n v="1500"/>
    <n v="3000"/>
    <d v="2024-10-31T00:00:00"/>
    <x v="1"/>
  </r>
  <r>
    <n v="1554"/>
    <s v="07-08-2024"/>
    <x v="9"/>
    <x v="2"/>
    <x v="6"/>
    <x v="2"/>
    <n v="3"/>
    <n v="5000"/>
    <n v="15000"/>
    <d v="2024-08-07T00:00:00"/>
    <x v="4"/>
  </r>
  <r>
    <n v="1555"/>
    <s v="12-02-2024"/>
    <x v="0"/>
    <x v="4"/>
    <x v="3"/>
    <x v="1"/>
    <n v="5"/>
    <n v="2500"/>
    <n v="12500"/>
    <d v="2024-02-12T00:00:00"/>
    <x v="10"/>
  </r>
  <r>
    <n v="1556"/>
    <s v="07-08-2024"/>
    <x v="5"/>
    <x v="4"/>
    <x v="5"/>
    <x v="2"/>
    <n v="2"/>
    <n v="1500"/>
    <n v="3000"/>
    <d v="2024-08-07T00:00:00"/>
    <x v="4"/>
  </r>
  <r>
    <n v="1557"/>
    <s v="09-08-2024"/>
    <x v="5"/>
    <x v="4"/>
    <x v="7"/>
    <x v="0"/>
    <n v="2"/>
    <n v="2000"/>
    <n v="4000"/>
    <d v="2024-08-09T00:00:00"/>
    <x v="4"/>
  </r>
  <r>
    <n v="1558"/>
    <s v="30-07-2024"/>
    <x v="3"/>
    <x v="6"/>
    <x v="7"/>
    <x v="0"/>
    <n v="4"/>
    <n v="2000"/>
    <n v="8000"/>
    <d v="2024-07-30T00:00:00"/>
    <x v="5"/>
  </r>
  <r>
    <n v="1559"/>
    <s v="03-09-2024"/>
    <x v="0"/>
    <x v="5"/>
    <x v="1"/>
    <x v="0"/>
    <n v="2"/>
    <n v="3000"/>
    <n v="6000"/>
    <d v="2024-09-03T00:00:00"/>
    <x v="2"/>
  </r>
  <r>
    <n v="1560"/>
    <s v="09-05-2024"/>
    <x v="6"/>
    <x v="1"/>
    <x v="5"/>
    <x v="2"/>
    <n v="1"/>
    <n v="1500"/>
    <n v="1500"/>
    <d v="2024-05-09T00:00:00"/>
    <x v="8"/>
  </r>
  <r>
    <n v="1561"/>
    <s v="20-09-2024"/>
    <x v="0"/>
    <x v="5"/>
    <x v="3"/>
    <x v="1"/>
    <n v="1"/>
    <n v="2500"/>
    <n v="2500"/>
    <d v="2024-09-20T00:00:00"/>
    <x v="2"/>
  </r>
  <r>
    <n v="1562"/>
    <s v="08-11-2024"/>
    <x v="5"/>
    <x v="1"/>
    <x v="0"/>
    <x v="0"/>
    <n v="3"/>
    <n v="800"/>
    <n v="2400"/>
    <d v="2024-11-08T00:00:00"/>
    <x v="9"/>
  </r>
  <r>
    <n v="1563"/>
    <s v="14-04-2024"/>
    <x v="6"/>
    <x v="6"/>
    <x v="6"/>
    <x v="2"/>
    <n v="2"/>
    <n v="5000"/>
    <n v="10000"/>
    <d v="2024-04-14T00:00:00"/>
    <x v="7"/>
  </r>
  <r>
    <n v="1564"/>
    <s v="30-07-2024"/>
    <x v="0"/>
    <x v="6"/>
    <x v="1"/>
    <x v="0"/>
    <n v="1"/>
    <n v="3000"/>
    <n v="3000"/>
    <d v="2024-07-30T00:00:00"/>
    <x v="5"/>
  </r>
  <r>
    <n v="1565"/>
    <s v="25-01-2024"/>
    <x v="11"/>
    <x v="1"/>
    <x v="6"/>
    <x v="2"/>
    <n v="1"/>
    <n v="5000"/>
    <n v="5000"/>
    <d v="2024-01-25T00:00:00"/>
    <x v="11"/>
  </r>
  <r>
    <n v="1566"/>
    <s v="14-01-2024"/>
    <x v="8"/>
    <x v="6"/>
    <x v="0"/>
    <x v="0"/>
    <n v="3"/>
    <n v="800"/>
    <n v="2400"/>
    <d v="2024-01-14T00:00:00"/>
    <x v="11"/>
  </r>
  <r>
    <n v="1567"/>
    <s v="21-10-2024"/>
    <x v="1"/>
    <x v="5"/>
    <x v="3"/>
    <x v="1"/>
    <n v="3"/>
    <n v="2500"/>
    <n v="7500"/>
    <d v="2024-10-21T00:00:00"/>
    <x v="1"/>
  </r>
  <r>
    <n v="1568"/>
    <s v="15-06-2024"/>
    <x v="11"/>
    <x v="4"/>
    <x v="0"/>
    <x v="0"/>
    <n v="1"/>
    <n v="800"/>
    <n v="800"/>
    <d v="2024-06-15T00:00:00"/>
    <x v="3"/>
  </r>
  <r>
    <n v="1569"/>
    <s v="29-11-2024"/>
    <x v="0"/>
    <x v="5"/>
    <x v="0"/>
    <x v="0"/>
    <n v="3"/>
    <n v="800"/>
    <n v="2400"/>
    <d v="2024-11-29T00:00:00"/>
    <x v="9"/>
  </r>
  <r>
    <n v="1570"/>
    <s v="10-08-2024"/>
    <x v="10"/>
    <x v="5"/>
    <x v="6"/>
    <x v="2"/>
    <n v="5"/>
    <n v="5000"/>
    <n v="25000"/>
    <d v="2024-08-10T00:00:00"/>
    <x v="4"/>
  </r>
  <r>
    <n v="1571"/>
    <s v="06-01-2024"/>
    <x v="7"/>
    <x v="1"/>
    <x v="5"/>
    <x v="2"/>
    <n v="1"/>
    <n v="1500"/>
    <n v="1500"/>
    <d v="2024-01-06T00:00:00"/>
    <x v="11"/>
  </r>
  <r>
    <n v="1572"/>
    <s v="03-06-2024"/>
    <x v="9"/>
    <x v="3"/>
    <x v="4"/>
    <x v="1"/>
    <n v="3"/>
    <n v="20000"/>
    <n v="60000"/>
    <d v="2024-06-03T00:00:00"/>
    <x v="3"/>
  </r>
  <r>
    <n v="1573"/>
    <s v="25-04-2024"/>
    <x v="3"/>
    <x v="1"/>
    <x v="7"/>
    <x v="0"/>
    <n v="3"/>
    <n v="2000"/>
    <n v="6000"/>
    <d v="2024-04-25T00:00:00"/>
    <x v="7"/>
  </r>
  <r>
    <n v="1574"/>
    <s v="08-12-2024"/>
    <x v="11"/>
    <x v="0"/>
    <x v="6"/>
    <x v="2"/>
    <n v="3"/>
    <n v="5000"/>
    <n v="15000"/>
    <d v="2024-12-08T00:00:00"/>
    <x v="6"/>
  </r>
  <r>
    <n v="1575"/>
    <s v="26-11-2024"/>
    <x v="3"/>
    <x v="1"/>
    <x v="1"/>
    <x v="0"/>
    <n v="1"/>
    <n v="3000"/>
    <n v="3000"/>
    <d v="2024-11-26T00:00:00"/>
    <x v="9"/>
  </r>
  <r>
    <n v="1576"/>
    <s v="15-10-2024"/>
    <x v="3"/>
    <x v="5"/>
    <x v="1"/>
    <x v="0"/>
    <n v="1"/>
    <n v="3000"/>
    <n v="3000"/>
    <d v="2024-10-15T00:00:00"/>
    <x v="1"/>
  </r>
  <r>
    <n v="1577"/>
    <s v="21-08-2024"/>
    <x v="11"/>
    <x v="4"/>
    <x v="2"/>
    <x v="1"/>
    <n v="5"/>
    <n v="50000"/>
    <n v="250000"/>
    <d v="2024-08-21T00:00:00"/>
    <x v="4"/>
  </r>
  <r>
    <n v="1578"/>
    <s v="18-08-2024"/>
    <x v="9"/>
    <x v="2"/>
    <x v="3"/>
    <x v="1"/>
    <n v="1"/>
    <n v="2500"/>
    <n v="2500"/>
    <d v="2024-08-18T00:00:00"/>
    <x v="4"/>
  </r>
  <r>
    <n v="1579"/>
    <s v="28-12-2024"/>
    <x v="0"/>
    <x v="4"/>
    <x v="6"/>
    <x v="2"/>
    <n v="5"/>
    <n v="5000"/>
    <n v="25000"/>
    <d v="2024-12-28T00:00:00"/>
    <x v="6"/>
  </r>
  <r>
    <n v="1580"/>
    <s v="23-02-2024"/>
    <x v="0"/>
    <x v="1"/>
    <x v="6"/>
    <x v="2"/>
    <n v="5"/>
    <n v="5000"/>
    <n v="25000"/>
    <d v="2024-02-23T00:00:00"/>
    <x v="10"/>
  </r>
  <r>
    <n v="1581"/>
    <s v="19-08-2024"/>
    <x v="5"/>
    <x v="5"/>
    <x v="5"/>
    <x v="2"/>
    <n v="1"/>
    <n v="1500"/>
    <n v="1500"/>
    <d v="2024-08-19T00:00:00"/>
    <x v="4"/>
  </r>
  <r>
    <n v="1582"/>
    <s v="21-06-2024"/>
    <x v="10"/>
    <x v="5"/>
    <x v="2"/>
    <x v="1"/>
    <n v="1"/>
    <n v="50000"/>
    <n v="50000"/>
    <d v="2024-06-21T00:00:00"/>
    <x v="3"/>
  </r>
  <r>
    <n v="1583"/>
    <s v="06-09-2024"/>
    <x v="11"/>
    <x v="4"/>
    <x v="2"/>
    <x v="1"/>
    <n v="4"/>
    <n v="50000"/>
    <n v="200000"/>
    <d v="2024-09-06T00:00:00"/>
    <x v="2"/>
  </r>
  <r>
    <n v="1584"/>
    <s v="06-08-2024"/>
    <x v="6"/>
    <x v="2"/>
    <x v="0"/>
    <x v="0"/>
    <n v="5"/>
    <n v="800"/>
    <n v="4000"/>
    <d v="2024-08-06T00:00:00"/>
    <x v="4"/>
  </r>
  <r>
    <n v="1585"/>
    <s v="31-12-2024"/>
    <x v="11"/>
    <x v="3"/>
    <x v="2"/>
    <x v="1"/>
    <n v="2"/>
    <n v="50000"/>
    <n v="100000"/>
    <d v="2024-12-31T00:00:00"/>
    <x v="6"/>
  </r>
  <r>
    <n v="1586"/>
    <s v="18-09-2024"/>
    <x v="2"/>
    <x v="4"/>
    <x v="5"/>
    <x v="2"/>
    <n v="5"/>
    <n v="1500"/>
    <n v="7500"/>
    <d v="2024-09-18T00:00:00"/>
    <x v="2"/>
  </r>
  <r>
    <n v="1587"/>
    <s v="26-09-2024"/>
    <x v="0"/>
    <x v="1"/>
    <x v="6"/>
    <x v="2"/>
    <n v="1"/>
    <n v="5000"/>
    <n v="5000"/>
    <d v="2024-09-26T00:00:00"/>
    <x v="2"/>
  </r>
  <r>
    <n v="1588"/>
    <s v="24-11-2024"/>
    <x v="8"/>
    <x v="3"/>
    <x v="0"/>
    <x v="0"/>
    <n v="5"/>
    <n v="800"/>
    <n v="4000"/>
    <d v="2024-11-24T00:00:00"/>
    <x v="9"/>
  </r>
  <r>
    <n v="1589"/>
    <s v="29-08-2024"/>
    <x v="9"/>
    <x v="0"/>
    <x v="1"/>
    <x v="0"/>
    <n v="1"/>
    <n v="3000"/>
    <n v="3000"/>
    <d v="2024-08-29T00:00:00"/>
    <x v="4"/>
  </r>
  <r>
    <n v="1590"/>
    <s v="31-08-2024"/>
    <x v="1"/>
    <x v="0"/>
    <x v="4"/>
    <x v="1"/>
    <n v="5"/>
    <n v="20000"/>
    <n v="100000"/>
    <d v="2024-08-31T00:00:00"/>
    <x v="4"/>
  </r>
  <r>
    <n v="1591"/>
    <s v="18-05-2024"/>
    <x v="5"/>
    <x v="2"/>
    <x v="1"/>
    <x v="0"/>
    <n v="3"/>
    <n v="3000"/>
    <n v="9000"/>
    <d v="2024-05-18T00:00:00"/>
    <x v="8"/>
  </r>
  <r>
    <n v="1592"/>
    <s v="28-01-2024"/>
    <x v="5"/>
    <x v="6"/>
    <x v="3"/>
    <x v="1"/>
    <n v="4"/>
    <n v="2500"/>
    <n v="10000"/>
    <d v="2024-01-28T00:00:00"/>
    <x v="11"/>
  </r>
  <r>
    <n v="1593"/>
    <s v="28-01-2024"/>
    <x v="6"/>
    <x v="3"/>
    <x v="5"/>
    <x v="2"/>
    <n v="1"/>
    <n v="1500"/>
    <n v="1500"/>
    <d v="2024-01-28T00:00:00"/>
    <x v="11"/>
  </r>
  <r>
    <n v="1594"/>
    <s v="31-05-2024"/>
    <x v="10"/>
    <x v="1"/>
    <x v="4"/>
    <x v="1"/>
    <n v="5"/>
    <n v="20000"/>
    <n v="100000"/>
    <d v="2024-05-31T00:00:00"/>
    <x v="8"/>
  </r>
  <r>
    <n v="1595"/>
    <s v="03-10-2024"/>
    <x v="8"/>
    <x v="3"/>
    <x v="6"/>
    <x v="2"/>
    <n v="3"/>
    <n v="5000"/>
    <n v="15000"/>
    <d v="2024-10-03T00:00:00"/>
    <x v="1"/>
  </r>
  <r>
    <n v="1596"/>
    <s v="30-01-2024"/>
    <x v="10"/>
    <x v="2"/>
    <x v="2"/>
    <x v="1"/>
    <n v="1"/>
    <n v="50000"/>
    <n v="50000"/>
    <d v="2024-01-30T00:00:00"/>
    <x v="11"/>
  </r>
  <r>
    <n v="1597"/>
    <s v="25-07-2024"/>
    <x v="9"/>
    <x v="4"/>
    <x v="1"/>
    <x v="0"/>
    <n v="3"/>
    <n v="3000"/>
    <n v="9000"/>
    <d v="2024-07-25T00:00:00"/>
    <x v="5"/>
  </r>
  <r>
    <n v="1598"/>
    <s v="13-11-2024"/>
    <x v="9"/>
    <x v="3"/>
    <x v="4"/>
    <x v="1"/>
    <n v="5"/>
    <n v="20000"/>
    <n v="100000"/>
    <d v="2024-11-13T00:00:00"/>
    <x v="9"/>
  </r>
  <r>
    <n v="1599"/>
    <s v="08-09-2024"/>
    <x v="5"/>
    <x v="2"/>
    <x v="6"/>
    <x v="2"/>
    <n v="1"/>
    <n v="5000"/>
    <n v="5000"/>
    <d v="2024-09-08T00:00:00"/>
    <x v="2"/>
  </r>
  <r>
    <n v="1600"/>
    <s v="09-10-2024"/>
    <x v="2"/>
    <x v="2"/>
    <x v="1"/>
    <x v="0"/>
    <n v="3"/>
    <n v="3000"/>
    <n v="9000"/>
    <d v="2024-10-09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7F2474-76D6-4630-9C84-DEDBE37C1E40}"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K26" firstHeaderRow="1" firstDataRow="1" firstDataCol="1"/>
  <pivotFields count="11">
    <pivotField showAll="0"/>
    <pivotField showAll="0"/>
    <pivotField axis="axisRow" showAll="0">
      <items count="13">
        <item x="8"/>
        <item x="10"/>
        <item x="3"/>
        <item x="4"/>
        <item x="0"/>
        <item x="9"/>
        <item x="7"/>
        <item x="2"/>
        <item x="1"/>
        <item x="11"/>
        <item x="6"/>
        <item x="5"/>
        <item t="default"/>
      </items>
    </pivotField>
    <pivotField showAll="0">
      <items count="8">
        <item h="1" x="5"/>
        <item h="1" x="3"/>
        <item x="1"/>
        <item h="1" x="4"/>
        <item h="1" x="0"/>
        <item h="1" x="6"/>
        <item h="1" x="2"/>
        <item t="default"/>
      </items>
    </pivotField>
    <pivotField showAll="0"/>
    <pivotField showAll="0">
      <items count="4">
        <item h="1" x="2"/>
        <item x="1"/>
        <item h="1" x="0"/>
        <item t="default"/>
      </items>
    </pivotField>
    <pivotField showAll="0"/>
    <pivotField showAll="0"/>
    <pivotField dataField="1" showAll="0"/>
    <pivotField numFmtId="14" showAll="0"/>
    <pivotField showAll="0">
      <items count="13">
        <item x="11"/>
        <item x="10"/>
        <item x="0"/>
        <item x="7"/>
        <item x="8"/>
        <item x="3"/>
        <item x="5"/>
        <item x="4"/>
        <item x="2"/>
        <item x="1"/>
        <item x="9"/>
        <item x="6"/>
        <item t="default"/>
      </items>
    </pivotField>
  </pivotFields>
  <rowFields count="1">
    <field x="2"/>
  </rowFields>
  <rowItems count="12">
    <i>
      <x/>
    </i>
    <i>
      <x v="1"/>
    </i>
    <i>
      <x v="3"/>
    </i>
    <i>
      <x v="4"/>
    </i>
    <i>
      <x v="5"/>
    </i>
    <i>
      <x v="6"/>
    </i>
    <i>
      <x v="7"/>
    </i>
    <i>
      <x v="8"/>
    </i>
    <i>
      <x v="9"/>
    </i>
    <i>
      <x v="10"/>
    </i>
    <i>
      <x v="11"/>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BE05A-8DF4-4521-BB4B-B9788FA08E1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3:E17" firstHeaderRow="1" firstDataRow="1" firstDataCol="1"/>
  <pivotFields count="11">
    <pivotField showAll="0"/>
    <pivotField showAll="0"/>
    <pivotField showAll="0"/>
    <pivotField showAll="0">
      <items count="8">
        <item h="1" x="5"/>
        <item h="1" x="3"/>
        <item x="1"/>
        <item h="1" x="4"/>
        <item h="1" x="0"/>
        <item h="1" x="6"/>
        <item h="1" x="2"/>
        <item t="default"/>
      </items>
    </pivotField>
    <pivotField axis="axisRow" showAll="0" sortType="ascending">
      <items count="9">
        <item x="5"/>
        <item x="3"/>
        <item x="7"/>
        <item x="2"/>
        <item x="4"/>
        <item x="1"/>
        <item x="0"/>
        <item x="6"/>
        <item t="default"/>
      </items>
    </pivotField>
    <pivotField showAll="0">
      <items count="4">
        <item h="1" x="2"/>
        <item x="1"/>
        <item h="1" x="0"/>
        <item t="default"/>
      </items>
    </pivotField>
    <pivotField showAll="0"/>
    <pivotField showAll="0"/>
    <pivotField dataField="1" showAll="0"/>
    <pivotField numFmtId="14" showAll="0"/>
    <pivotField showAll="0">
      <items count="13">
        <item x="11"/>
        <item x="10"/>
        <item x="0"/>
        <item x="7"/>
        <item x="8"/>
        <item x="3"/>
        <item x="5"/>
        <item x="4"/>
        <item x="2"/>
        <item x="1"/>
        <item x="9"/>
        <item x="6"/>
        <item t="default"/>
      </items>
    </pivotField>
  </pivotFields>
  <rowFields count="1">
    <field x="4"/>
  </rowFields>
  <rowItems count="4">
    <i>
      <x v="1"/>
    </i>
    <i>
      <x v="3"/>
    </i>
    <i>
      <x v="4"/>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9023CB-2C6A-4B0C-9CEB-FEC463F8C112}"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3:H22" firstHeaderRow="1" firstDataRow="1" firstDataCol="1"/>
  <pivotFields count="11">
    <pivotField showAll="0"/>
    <pivotField showAll="0"/>
    <pivotField showAll="0"/>
    <pivotField showAll="0">
      <items count="8">
        <item h="1" x="5"/>
        <item h="1" x="3"/>
        <item x="1"/>
        <item h="1" x="4"/>
        <item h="1" x="0"/>
        <item h="1" x="6"/>
        <item h="1" x="2"/>
        <item t="default"/>
      </items>
    </pivotField>
    <pivotField showAll="0"/>
    <pivotField showAll="0">
      <items count="4">
        <item h="1" x="2"/>
        <item x="1"/>
        <item h="1" x="0"/>
        <item t="default"/>
      </items>
    </pivotField>
    <pivotField showAll="0"/>
    <pivotField showAll="0"/>
    <pivotField dataField="1" showAll="0"/>
    <pivotField numFmtId="14" showAll="0"/>
    <pivotField axis="axisRow" showAll="0">
      <items count="13">
        <item x="11"/>
        <item x="10"/>
        <item x="0"/>
        <item x="7"/>
        <item x="8"/>
        <item x="3"/>
        <item x="5"/>
        <item x="4"/>
        <item x="2"/>
        <item x="1"/>
        <item x="9"/>
        <item x="6"/>
        <item t="default"/>
      </items>
    </pivotField>
  </pivotFields>
  <rowFields count="1">
    <field x="10"/>
  </rowFields>
  <rowItems count="9">
    <i>
      <x/>
    </i>
    <i>
      <x v="1"/>
    </i>
    <i>
      <x v="2"/>
    </i>
    <i>
      <x v="3"/>
    </i>
    <i>
      <x v="4"/>
    </i>
    <i>
      <x v="7"/>
    </i>
    <i>
      <x v="10"/>
    </i>
    <i>
      <x v="11"/>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B3E2F6-119A-4D03-96CE-D242796E123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3:B15" firstHeaderRow="1" firstDataRow="1" firstDataCol="1"/>
  <pivotFields count="11">
    <pivotField showAll="0"/>
    <pivotField showAll="0"/>
    <pivotField showAll="0"/>
    <pivotField axis="axisRow" showAll="0">
      <items count="8">
        <item h="1" x="5"/>
        <item h="1" x="3"/>
        <item x="1"/>
        <item h="1" x="4"/>
        <item h="1" x="0"/>
        <item h="1" x="6"/>
        <item h="1" x="2"/>
        <item t="default"/>
      </items>
    </pivotField>
    <pivotField showAll="0"/>
    <pivotField showAll="0">
      <items count="4">
        <item h="1" x="2"/>
        <item x="1"/>
        <item h="1" x="0"/>
        <item t="default"/>
      </items>
    </pivotField>
    <pivotField showAll="0"/>
    <pivotField showAll="0"/>
    <pivotField dataField="1" showAll="0"/>
    <pivotField numFmtId="14" showAll="0"/>
    <pivotField showAll="0">
      <items count="13">
        <item x="11"/>
        <item x="10"/>
        <item x="0"/>
        <item x="7"/>
        <item x="8"/>
        <item x="3"/>
        <item x="5"/>
        <item x="4"/>
        <item x="2"/>
        <item x="1"/>
        <item x="9"/>
        <item x="6"/>
        <item t="default"/>
      </items>
    </pivotField>
  </pivotFields>
  <rowFields count="1">
    <field x="3"/>
  </rowFields>
  <rowItems count="2">
    <i>
      <x v="2"/>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09631-87F3-42CE-8B03-FB6B42A46D9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 firstHeaderRow="1" firstDataRow="1" firstDataCol="1"/>
  <pivotFields count="11">
    <pivotField showAll="0"/>
    <pivotField showAll="0"/>
    <pivotField showAll="0"/>
    <pivotField showAll="0">
      <items count="8">
        <item h="1" x="5"/>
        <item h="1" x="3"/>
        <item x="1"/>
        <item h="1" x="4"/>
        <item h="1" x="0"/>
        <item h="1" x="6"/>
        <item h="1" x="2"/>
        <item t="default"/>
      </items>
    </pivotField>
    <pivotField showAll="0"/>
    <pivotField axis="axisRow" showAll="0">
      <items count="4">
        <item h="1" x="2"/>
        <item x="1"/>
        <item h="1" x="0"/>
        <item t="default"/>
      </items>
    </pivotField>
    <pivotField showAll="0"/>
    <pivotField showAll="0"/>
    <pivotField dataField="1" showAll="0"/>
    <pivotField numFmtId="14" showAll="0"/>
    <pivotField showAll="0">
      <items count="13">
        <item x="11"/>
        <item x="10"/>
        <item x="0"/>
        <item x="7"/>
        <item x="8"/>
        <item x="3"/>
        <item x="5"/>
        <item x="4"/>
        <item x="2"/>
        <item x="1"/>
        <item x="9"/>
        <item x="6"/>
        <item t="default"/>
      </items>
    </pivotField>
  </pivotFields>
  <rowFields count="1">
    <field x="5"/>
  </rowFields>
  <rowItems count="2">
    <i>
      <x v="1"/>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22C10AE-DBFC-4DCB-8A50-5807400BBB57}" sourceName="City">
  <pivotTables>
    <pivotTable tabId="2" name="PivotTable3"/>
    <pivotTable tabId="2" name="PivotTable1"/>
    <pivotTable tabId="2" name="PivotTable4"/>
    <pivotTable tabId="2" name="PivotTable5"/>
    <pivotTable tabId="2" name="PivotTable6"/>
  </pivotTables>
  <data>
    <tabular pivotCacheId="601249990">
      <items count="7">
        <i x="5"/>
        <i x="3"/>
        <i x="1" s="1"/>
        <i x="4"/>
        <i x="0"/>
        <i x="6"/>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8CDF64F-81DE-4141-9F1C-D667CE409193}" sourceName="Category">
  <pivotTables>
    <pivotTable tabId="2" name="PivotTable3"/>
    <pivotTable tabId="2" name="PivotTable1"/>
    <pivotTable tabId="2" name="PivotTable4"/>
    <pivotTable tabId="2" name="PivotTable5"/>
    <pivotTable tabId="2" name="PivotTable6"/>
  </pivotTables>
  <data>
    <tabular pivotCacheId="601249990">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8D32EAE-E74C-4A31-88F6-3FD325CCD7B6}" sourceName="Month">
  <pivotTables>
    <pivotTable tabId="2" name="PivotTable3"/>
    <pivotTable tabId="2" name="PivotTable1"/>
    <pivotTable tabId="2" name="PivotTable4"/>
    <pivotTable tabId="2" name="PivotTable5"/>
    <pivotTable tabId="2" name="PivotTable6"/>
  </pivotTables>
  <data>
    <tabular pivotCacheId="601249990">
      <items count="12">
        <i x="11" s="1"/>
        <i x="10" s="1"/>
        <i x="0" s="1"/>
        <i x="7" s="1"/>
        <i x="8" s="1"/>
        <i x="4" s="1"/>
        <i x="9" s="1"/>
        <i x="6" s="1"/>
        <i x="3" s="1" nd="1"/>
        <i x="5" s="1" nd="1"/>
        <i x="2"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E75DCBD-E3ED-4610-B4BF-1C0FFBFCF4B3}" cache="Slicer_City" caption="City" rowHeight="241300"/>
  <slicer name="Category" xr10:uid="{6F0EB7F0-4A13-4E04-9B2C-73424BC3537F}" cache="Slicer_Category" caption="Category" rowHeight="241300"/>
  <slicer name="Month" xr10:uid="{DEF8583E-B8D5-4864-8F9A-C65C695A0D0B}"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31818C-CE57-435D-88B2-B7A6EDE8385F}" name="Table2" displayName="Table2" ref="A3:K72" totalsRowShown="0">
  <autoFilter ref="A3:K72" xr:uid="{EB31818C-CE57-435D-88B2-B7A6EDE8385F}"/>
  <tableColumns count="11">
    <tableColumn id="1" xr3:uid="{E2081F12-9E5D-495F-A63C-2624059F9DE6}" name="Order ID"/>
    <tableColumn id="2" xr3:uid="{55E72D70-7706-4E26-9746-C0AB9FDB40DB}" name="Order Date"/>
    <tableColumn id="3" xr3:uid="{0A8C0B62-AAD8-4E16-8779-CC4A8509A548}" name="Customer Name"/>
    <tableColumn id="4" xr3:uid="{3729F5A1-CE29-4EF0-BA8F-CCD32A9F0C1C}" name="City"/>
    <tableColumn id="5" xr3:uid="{D6F13DFF-0DF0-448A-AEA5-2C1B441FB886}" name="Product Name"/>
    <tableColumn id="6" xr3:uid="{CCA52490-2CA8-4AB8-8189-BB9459B72845}" name="Category"/>
    <tableColumn id="7" xr3:uid="{987FD613-64D0-431B-8D20-2B97880F4462}" name="Quantity"/>
    <tableColumn id="8" xr3:uid="{C20DB0D8-E296-49D3-B981-7D4E3F90AD53}" name="Price"/>
    <tableColumn id="9" xr3:uid="{695B1F78-359F-442F-954C-6963A30AA16B}" name="Total Sales"/>
    <tableColumn id="10" xr3:uid="{84E2E2F3-10A4-4FC4-A7B2-086575B0FBCA}" name="Order_Date" dataDxfId="0"/>
    <tableColumn id="11" xr3:uid="{49CFBE71-22FB-4534-B480-540E6023C947}" name="Mon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B1D87-0387-424A-9FBA-25A5E111038F}" name="Table1" displayName="Table1" ref="A1:K601" totalsRowShown="0">
  <autoFilter ref="A1:K601" xr:uid="{E9EB1D87-0387-424A-9FBA-25A5E111038F}"/>
  <tableColumns count="11">
    <tableColumn id="1" xr3:uid="{308B8AE8-0EF3-4E00-90AB-55117EA19029}" name="Order ID"/>
    <tableColumn id="2" xr3:uid="{59636E2C-7A39-472B-9321-57AA234D0B0B}" name="Order Date" dataDxfId="3"/>
    <tableColumn id="3" xr3:uid="{74135370-F89D-438A-B962-1CCD196557B1}" name="Customer Name"/>
    <tableColumn id="4" xr3:uid="{B474F51B-C2CB-4C85-A5EC-55BF075A01C9}" name="City"/>
    <tableColumn id="5" xr3:uid="{4939F22B-CA78-4718-98BD-CCB69768D3E0}" name="Product Name"/>
    <tableColumn id="6" xr3:uid="{43961305-BA51-4534-AFE9-5B2B4E46D5FA}" name="Category"/>
    <tableColumn id="7" xr3:uid="{6A004A32-99E0-4D3A-9463-C6C5B5320FE6}" name="Quantity"/>
    <tableColumn id="8" xr3:uid="{43C25B3C-200A-4AAC-B496-82A33D7E64F3}" name="Price"/>
    <tableColumn id="9" xr3:uid="{70B3244E-87E1-402D-A7F5-E4AC16E54570}" name="Total Sales"/>
    <tableColumn id="12" xr3:uid="{F10E3F11-5915-4C79-84B2-53D40ED1EE14}" name="Order_Date" dataDxfId="2"/>
    <tableColumn id="13" xr3:uid="{E59D46AD-691E-4CC6-BA8F-673D0988BF7F}" name="Month" dataDxfId="1">
      <calculatedColumnFormula>TEXT(Table1[[#This Row],[Order_Date]],"mmm")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73606-FB26-4551-B118-8F7B35C5189B}">
  <dimension ref="A1:K72"/>
  <sheetViews>
    <sheetView workbookViewId="0">
      <selection activeCell="F14" sqref="F14"/>
    </sheetView>
  </sheetViews>
  <sheetFormatPr defaultRowHeight="15" x14ac:dyDescent="0.25"/>
  <cols>
    <col min="1" max="1" width="10.7109375" bestFit="1" customWidth="1"/>
    <col min="2" max="2" width="13" bestFit="1" customWidth="1"/>
    <col min="3" max="3" width="17.7109375" bestFit="1" customWidth="1"/>
    <col min="4" max="4" width="11.7109375" bestFit="1" customWidth="1"/>
    <col min="5" max="5" width="16" bestFit="1" customWidth="1"/>
    <col min="6" max="6" width="11.140625" bestFit="1" customWidth="1"/>
    <col min="7" max="7" width="11" bestFit="1" customWidth="1"/>
    <col min="8" max="8" width="9.28515625" bestFit="1" customWidth="1"/>
    <col min="9" max="9" width="12.7109375" bestFit="1" customWidth="1"/>
    <col min="10" max="10" width="13.5703125" bestFit="1" customWidth="1"/>
    <col min="11" max="11" width="9.28515625" bestFit="1" customWidth="1"/>
  </cols>
  <sheetData>
    <row r="1" spans="1:11" x14ac:dyDescent="0.25">
      <c r="A1" s="6" t="s">
        <v>366</v>
      </c>
    </row>
    <row r="3" spans="1:11" x14ac:dyDescent="0.25">
      <c r="A3" t="s">
        <v>0</v>
      </c>
      <c r="B3" t="s">
        <v>1</v>
      </c>
      <c r="C3" t="s">
        <v>2</v>
      </c>
      <c r="D3" t="s">
        <v>3</v>
      </c>
      <c r="E3" t="s">
        <v>4</v>
      </c>
      <c r="F3" t="s">
        <v>5</v>
      </c>
      <c r="G3" t="s">
        <v>6</v>
      </c>
      <c r="H3" t="s">
        <v>7</v>
      </c>
      <c r="I3" t="s">
        <v>8</v>
      </c>
      <c r="J3" t="s">
        <v>350</v>
      </c>
      <c r="K3" t="s">
        <v>349</v>
      </c>
    </row>
    <row r="4" spans="1:11" x14ac:dyDescent="0.25">
      <c r="A4">
        <v>1600</v>
      </c>
      <c r="B4" t="s">
        <v>14</v>
      </c>
      <c r="C4" t="s">
        <v>19</v>
      </c>
      <c r="D4" t="s">
        <v>20</v>
      </c>
      <c r="E4" t="s">
        <v>17</v>
      </c>
      <c r="F4" t="s">
        <v>13</v>
      </c>
      <c r="G4">
        <v>3</v>
      </c>
      <c r="H4">
        <v>3000</v>
      </c>
      <c r="I4">
        <v>9000</v>
      </c>
      <c r="J4" s="2">
        <v>45574</v>
      </c>
      <c r="K4" t="s">
        <v>363</v>
      </c>
    </row>
    <row r="5" spans="1:11" x14ac:dyDescent="0.25">
      <c r="A5">
        <v>1002</v>
      </c>
      <c r="B5" t="s">
        <v>14</v>
      </c>
      <c r="C5" t="s">
        <v>15</v>
      </c>
      <c r="D5" t="s">
        <v>16</v>
      </c>
      <c r="E5" t="s">
        <v>17</v>
      </c>
      <c r="F5" t="s">
        <v>13</v>
      </c>
      <c r="G5">
        <v>2</v>
      </c>
      <c r="H5">
        <v>3000</v>
      </c>
      <c r="I5">
        <v>6000</v>
      </c>
      <c r="J5" s="2">
        <v>45574</v>
      </c>
      <c r="K5" t="s">
        <v>363</v>
      </c>
    </row>
    <row r="6" spans="1:11" x14ac:dyDescent="0.25">
      <c r="A6">
        <v>1597</v>
      </c>
      <c r="B6" t="s">
        <v>122</v>
      </c>
      <c r="C6" t="s">
        <v>50</v>
      </c>
      <c r="D6" t="s">
        <v>33</v>
      </c>
      <c r="E6" t="s">
        <v>17</v>
      </c>
      <c r="F6" t="s">
        <v>13</v>
      </c>
      <c r="G6">
        <v>3</v>
      </c>
      <c r="H6">
        <v>3000</v>
      </c>
      <c r="I6">
        <v>9000</v>
      </c>
      <c r="J6" s="2">
        <v>45498</v>
      </c>
      <c r="K6" t="s">
        <v>360</v>
      </c>
    </row>
    <row r="7" spans="1:11" x14ac:dyDescent="0.25">
      <c r="A7">
        <v>1591</v>
      </c>
      <c r="B7" t="s">
        <v>225</v>
      </c>
      <c r="C7" t="s">
        <v>30</v>
      </c>
      <c r="D7" t="s">
        <v>20</v>
      </c>
      <c r="E7" t="s">
        <v>17</v>
      </c>
      <c r="F7" t="s">
        <v>13</v>
      </c>
      <c r="G7">
        <v>3</v>
      </c>
      <c r="H7">
        <v>3000</v>
      </c>
      <c r="I7">
        <v>9000</v>
      </c>
      <c r="J7" s="2">
        <v>45430</v>
      </c>
      <c r="K7" t="s">
        <v>358</v>
      </c>
    </row>
    <row r="8" spans="1:11" x14ac:dyDescent="0.25">
      <c r="A8">
        <v>1589</v>
      </c>
      <c r="B8" t="s">
        <v>323</v>
      </c>
      <c r="C8" t="s">
        <v>50</v>
      </c>
      <c r="D8" t="s">
        <v>11</v>
      </c>
      <c r="E8" t="s">
        <v>17</v>
      </c>
      <c r="F8" t="s">
        <v>13</v>
      </c>
      <c r="G8">
        <v>1</v>
      </c>
      <c r="H8">
        <v>3000</v>
      </c>
      <c r="I8">
        <v>3000</v>
      </c>
      <c r="J8" s="2">
        <v>45533</v>
      </c>
      <c r="K8" t="s">
        <v>361</v>
      </c>
    </row>
    <row r="9" spans="1:11" x14ac:dyDescent="0.25">
      <c r="A9">
        <v>1006</v>
      </c>
      <c r="B9" t="s">
        <v>29</v>
      </c>
      <c r="C9" t="s">
        <v>30</v>
      </c>
      <c r="D9" t="s">
        <v>11</v>
      </c>
      <c r="E9" t="s">
        <v>17</v>
      </c>
      <c r="F9" t="s">
        <v>13</v>
      </c>
      <c r="G9">
        <v>1</v>
      </c>
      <c r="H9">
        <v>3000</v>
      </c>
      <c r="I9">
        <v>3000</v>
      </c>
      <c r="J9" s="2">
        <v>45519</v>
      </c>
      <c r="K9" t="s">
        <v>361</v>
      </c>
    </row>
    <row r="10" spans="1:11" x14ac:dyDescent="0.25">
      <c r="A10">
        <v>1576</v>
      </c>
      <c r="B10" t="s">
        <v>60</v>
      </c>
      <c r="C10" t="s">
        <v>24</v>
      </c>
      <c r="D10" t="s">
        <v>39</v>
      </c>
      <c r="E10" t="s">
        <v>17</v>
      </c>
      <c r="F10" t="s">
        <v>13</v>
      </c>
      <c r="G10">
        <v>1</v>
      </c>
      <c r="H10">
        <v>3000</v>
      </c>
      <c r="I10">
        <v>3000</v>
      </c>
      <c r="J10" s="2">
        <v>45580</v>
      </c>
      <c r="K10" t="s">
        <v>363</v>
      </c>
    </row>
    <row r="11" spans="1:11" x14ac:dyDescent="0.25">
      <c r="A11">
        <v>1575</v>
      </c>
      <c r="B11" t="s">
        <v>177</v>
      </c>
      <c r="C11" t="s">
        <v>24</v>
      </c>
      <c r="D11" t="s">
        <v>16</v>
      </c>
      <c r="E11" t="s">
        <v>17</v>
      </c>
      <c r="F11" t="s">
        <v>13</v>
      </c>
      <c r="G11">
        <v>1</v>
      </c>
      <c r="H11">
        <v>3000</v>
      </c>
      <c r="I11">
        <v>3000</v>
      </c>
      <c r="J11" s="2">
        <v>45622</v>
      </c>
      <c r="K11" t="s">
        <v>364</v>
      </c>
    </row>
    <row r="12" spans="1:11" x14ac:dyDescent="0.25">
      <c r="A12">
        <v>1009</v>
      </c>
      <c r="B12" t="s">
        <v>36</v>
      </c>
      <c r="C12" t="s">
        <v>30</v>
      </c>
      <c r="D12" t="s">
        <v>25</v>
      </c>
      <c r="E12" t="s">
        <v>17</v>
      </c>
      <c r="F12" t="s">
        <v>13</v>
      </c>
      <c r="G12">
        <v>4</v>
      </c>
      <c r="H12">
        <v>3000</v>
      </c>
      <c r="I12">
        <v>12000</v>
      </c>
      <c r="J12" s="2">
        <v>45627</v>
      </c>
      <c r="K12" t="s">
        <v>365</v>
      </c>
    </row>
    <row r="13" spans="1:11" x14ac:dyDescent="0.25">
      <c r="A13">
        <v>1564</v>
      </c>
      <c r="B13" t="s">
        <v>250</v>
      </c>
      <c r="C13" t="s">
        <v>10</v>
      </c>
      <c r="D13" t="s">
        <v>47</v>
      </c>
      <c r="E13" t="s">
        <v>17</v>
      </c>
      <c r="F13" t="s">
        <v>13</v>
      </c>
      <c r="G13">
        <v>1</v>
      </c>
      <c r="H13">
        <v>3000</v>
      </c>
      <c r="I13">
        <v>3000</v>
      </c>
      <c r="J13" s="2">
        <v>45503</v>
      </c>
      <c r="K13" t="s">
        <v>360</v>
      </c>
    </row>
    <row r="14" spans="1:11" x14ac:dyDescent="0.25">
      <c r="A14">
        <v>1559</v>
      </c>
      <c r="B14" t="s">
        <v>70</v>
      </c>
      <c r="C14" t="s">
        <v>10</v>
      </c>
      <c r="D14" t="s">
        <v>39</v>
      </c>
      <c r="E14" t="s">
        <v>17</v>
      </c>
      <c r="F14" t="s">
        <v>13</v>
      </c>
      <c r="G14">
        <v>2</v>
      </c>
      <c r="H14">
        <v>3000</v>
      </c>
      <c r="I14">
        <v>6000</v>
      </c>
      <c r="J14" s="2">
        <v>45538</v>
      </c>
      <c r="K14" t="s">
        <v>362</v>
      </c>
    </row>
    <row r="15" spans="1:11" x14ac:dyDescent="0.25">
      <c r="A15">
        <v>1550</v>
      </c>
      <c r="B15" t="s">
        <v>109</v>
      </c>
      <c r="C15" t="s">
        <v>30</v>
      </c>
      <c r="D15" t="s">
        <v>47</v>
      </c>
      <c r="E15" t="s">
        <v>17</v>
      </c>
      <c r="F15" t="s">
        <v>13</v>
      </c>
      <c r="G15">
        <v>3</v>
      </c>
      <c r="H15">
        <v>3000</v>
      </c>
      <c r="I15">
        <v>9000</v>
      </c>
      <c r="J15" s="2">
        <v>45330</v>
      </c>
      <c r="K15" t="s">
        <v>355</v>
      </c>
    </row>
    <row r="16" spans="1:11" x14ac:dyDescent="0.25">
      <c r="A16">
        <v>1549</v>
      </c>
      <c r="B16" t="s">
        <v>182</v>
      </c>
      <c r="C16" t="s">
        <v>53</v>
      </c>
      <c r="D16" t="s">
        <v>47</v>
      </c>
      <c r="E16" t="s">
        <v>17</v>
      </c>
      <c r="F16" t="s">
        <v>13</v>
      </c>
      <c r="G16">
        <v>5</v>
      </c>
      <c r="H16">
        <v>3000</v>
      </c>
      <c r="I16">
        <v>15000</v>
      </c>
      <c r="J16" s="2">
        <v>45551</v>
      </c>
      <c r="K16" t="s">
        <v>362</v>
      </c>
    </row>
    <row r="17" spans="1:11" x14ac:dyDescent="0.25">
      <c r="A17">
        <v>1528</v>
      </c>
      <c r="B17" t="s">
        <v>204</v>
      </c>
      <c r="C17" t="s">
        <v>28</v>
      </c>
      <c r="D17" t="s">
        <v>20</v>
      </c>
      <c r="E17" t="s">
        <v>17</v>
      </c>
      <c r="F17" t="s">
        <v>13</v>
      </c>
      <c r="G17">
        <v>5</v>
      </c>
      <c r="H17">
        <v>3000</v>
      </c>
      <c r="I17">
        <v>15000</v>
      </c>
      <c r="J17" s="2">
        <v>45331</v>
      </c>
      <c r="K17" t="s">
        <v>355</v>
      </c>
    </row>
    <row r="18" spans="1:11" x14ac:dyDescent="0.25">
      <c r="A18">
        <v>1523</v>
      </c>
      <c r="B18" t="s">
        <v>68</v>
      </c>
      <c r="C18" t="s">
        <v>15</v>
      </c>
      <c r="D18" t="s">
        <v>39</v>
      </c>
      <c r="E18" t="s">
        <v>17</v>
      </c>
      <c r="F18" t="s">
        <v>13</v>
      </c>
      <c r="G18">
        <v>3</v>
      </c>
      <c r="H18">
        <v>3000</v>
      </c>
      <c r="I18">
        <v>9000</v>
      </c>
      <c r="J18" s="2">
        <v>45332</v>
      </c>
      <c r="K18" t="s">
        <v>355</v>
      </c>
    </row>
    <row r="19" spans="1:11" x14ac:dyDescent="0.25">
      <c r="A19">
        <v>1493</v>
      </c>
      <c r="B19" t="s">
        <v>319</v>
      </c>
      <c r="C19" t="s">
        <v>38</v>
      </c>
      <c r="D19" t="s">
        <v>33</v>
      </c>
      <c r="E19" t="s">
        <v>17</v>
      </c>
      <c r="F19" t="s">
        <v>13</v>
      </c>
      <c r="G19">
        <v>4</v>
      </c>
      <c r="H19">
        <v>3000</v>
      </c>
      <c r="I19">
        <v>12000</v>
      </c>
      <c r="J19" s="2">
        <v>45618</v>
      </c>
      <c r="K19" t="s">
        <v>364</v>
      </c>
    </row>
    <row r="20" spans="1:11" x14ac:dyDescent="0.25">
      <c r="A20">
        <v>1480</v>
      </c>
      <c r="B20" t="s">
        <v>69</v>
      </c>
      <c r="C20" t="s">
        <v>38</v>
      </c>
      <c r="D20" t="s">
        <v>11</v>
      </c>
      <c r="E20" t="s">
        <v>17</v>
      </c>
      <c r="F20" t="s">
        <v>13</v>
      </c>
      <c r="G20">
        <v>4</v>
      </c>
      <c r="H20">
        <v>3000</v>
      </c>
      <c r="I20">
        <v>12000</v>
      </c>
      <c r="J20" s="2">
        <v>45467</v>
      </c>
      <c r="K20" t="s">
        <v>359</v>
      </c>
    </row>
    <row r="21" spans="1:11" x14ac:dyDescent="0.25">
      <c r="A21">
        <v>1476</v>
      </c>
      <c r="B21" t="s">
        <v>314</v>
      </c>
      <c r="C21" t="s">
        <v>24</v>
      </c>
      <c r="D21" t="s">
        <v>39</v>
      </c>
      <c r="E21" t="s">
        <v>17</v>
      </c>
      <c r="F21" t="s">
        <v>13</v>
      </c>
      <c r="G21">
        <v>2</v>
      </c>
      <c r="H21">
        <v>3000</v>
      </c>
      <c r="I21">
        <v>6000</v>
      </c>
      <c r="J21" s="2">
        <v>45523</v>
      </c>
      <c r="K21" t="s">
        <v>361</v>
      </c>
    </row>
    <row r="22" spans="1:11" x14ac:dyDescent="0.25">
      <c r="A22">
        <v>1453</v>
      </c>
      <c r="B22" t="s">
        <v>244</v>
      </c>
      <c r="C22" t="s">
        <v>38</v>
      </c>
      <c r="D22" t="s">
        <v>25</v>
      </c>
      <c r="E22" t="s">
        <v>17</v>
      </c>
      <c r="F22" t="s">
        <v>13</v>
      </c>
      <c r="G22">
        <v>2</v>
      </c>
      <c r="H22">
        <v>3000</v>
      </c>
      <c r="I22">
        <v>6000</v>
      </c>
      <c r="J22" s="2">
        <v>45346</v>
      </c>
      <c r="K22" t="s">
        <v>355</v>
      </c>
    </row>
    <row r="23" spans="1:11" x14ac:dyDescent="0.25">
      <c r="A23">
        <v>1441</v>
      </c>
      <c r="B23" t="s">
        <v>301</v>
      </c>
      <c r="C23" t="s">
        <v>10</v>
      </c>
      <c r="D23" t="s">
        <v>11</v>
      </c>
      <c r="E23" t="s">
        <v>17</v>
      </c>
      <c r="F23" t="s">
        <v>13</v>
      </c>
      <c r="G23">
        <v>2</v>
      </c>
      <c r="H23">
        <v>3000</v>
      </c>
      <c r="I23">
        <v>6000</v>
      </c>
      <c r="J23" s="2">
        <v>45488</v>
      </c>
      <c r="K23" t="s">
        <v>360</v>
      </c>
    </row>
    <row r="24" spans="1:11" x14ac:dyDescent="0.25">
      <c r="A24">
        <v>1440</v>
      </c>
      <c r="B24" t="s">
        <v>97</v>
      </c>
      <c r="C24" t="s">
        <v>57</v>
      </c>
      <c r="D24" t="s">
        <v>20</v>
      </c>
      <c r="E24" t="s">
        <v>17</v>
      </c>
      <c r="F24" t="s">
        <v>13</v>
      </c>
      <c r="G24">
        <v>1</v>
      </c>
      <c r="H24">
        <v>3000</v>
      </c>
      <c r="I24">
        <v>3000</v>
      </c>
      <c r="J24" s="2">
        <v>45311</v>
      </c>
      <c r="K24" t="s">
        <v>354</v>
      </c>
    </row>
    <row r="25" spans="1:11" x14ac:dyDescent="0.25">
      <c r="A25">
        <v>1435</v>
      </c>
      <c r="B25" t="s">
        <v>298</v>
      </c>
      <c r="C25" t="s">
        <v>57</v>
      </c>
      <c r="D25" t="s">
        <v>25</v>
      </c>
      <c r="E25" t="s">
        <v>17</v>
      </c>
      <c r="F25" t="s">
        <v>13</v>
      </c>
      <c r="G25">
        <v>3</v>
      </c>
      <c r="H25">
        <v>3000</v>
      </c>
      <c r="I25">
        <v>9000</v>
      </c>
      <c r="J25" s="2">
        <v>45431</v>
      </c>
      <c r="K25" t="s">
        <v>358</v>
      </c>
    </row>
    <row r="26" spans="1:11" x14ac:dyDescent="0.25">
      <c r="A26">
        <v>1023</v>
      </c>
      <c r="B26" t="s">
        <v>60</v>
      </c>
      <c r="C26" t="s">
        <v>30</v>
      </c>
      <c r="D26" t="s">
        <v>25</v>
      </c>
      <c r="E26" t="s">
        <v>17</v>
      </c>
      <c r="F26" t="s">
        <v>13</v>
      </c>
      <c r="G26">
        <v>4</v>
      </c>
      <c r="H26">
        <v>3000</v>
      </c>
      <c r="I26">
        <v>12000</v>
      </c>
      <c r="J26" s="2">
        <v>45580</v>
      </c>
      <c r="K26" t="s">
        <v>363</v>
      </c>
    </row>
    <row r="27" spans="1:11" x14ac:dyDescent="0.25">
      <c r="A27">
        <v>1427</v>
      </c>
      <c r="B27" t="s">
        <v>27</v>
      </c>
      <c r="C27" t="s">
        <v>42</v>
      </c>
      <c r="D27" t="s">
        <v>39</v>
      </c>
      <c r="E27" t="s">
        <v>17</v>
      </c>
      <c r="F27" t="s">
        <v>13</v>
      </c>
      <c r="G27">
        <v>1</v>
      </c>
      <c r="H27">
        <v>3000</v>
      </c>
      <c r="I27">
        <v>3000</v>
      </c>
      <c r="J27" s="2">
        <v>45465</v>
      </c>
      <c r="K27" t="s">
        <v>359</v>
      </c>
    </row>
    <row r="28" spans="1:11" x14ac:dyDescent="0.25">
      <c r="A28">
        <v>1409</v>
      </c>
      <c r="B28" t="s">
        <v>208</v>
      </c>
      <c r="C28" t="s">
        <v>50</v>
      </c>
      <c r="D28" t="s">
        <v>33</v>
      </c>
      <c r="E28" t="s">
        <v>17</v>
      </c>
      <c r="F28" t="s">
        <v>13</v>
      </c>
      <c r="G28">
        <v>2</v>
      </c>
      <c r="H28">
        <v>3000</v>
      </c>
      <c r="I28">
        <v>6000</v>
      </c>
      <c r="J28" s="2">
        <v>45652</v>
      </c>
      <c r="K28" t="s">
        <v>365</v>
      </c>
    </row>
    <row r="29" spans="1:11" x14ac:dyDescent="0.25">
      <c r="A29">
        <v>1026</v>
      </c>
      <c r="B29" t="s">
        <v>63</v>
      </c>
      <c r="C29" t="s">
        <v>28</v>
      </c>
      <c r="D29" t="s">
        <v>16</v>
      </c>
      <c r="E29" t="s">
        <v>17</v>
      </c>
      <c r="F29" t="s">
        <v>13</v>
      </c>
      <c r="G29">
        <v>2</v>
      </c>
      <c r="H29">
        <v>3000</v>
      </c>
      <c r="I29">
        <v>6000</v>
      </c>
      <c r="J29" s="2">
        <v>45459</v>
      </c>
      <c r="K29" t="s">
        <v>359</v>
      </c>
    </row>
    <row r="30" spans="1:11" x14ac:dyDescent="0.25">
      <c r="A30">
        <v>1407</v>
      </c>
      <c r="B30" t="s">
        <v>201</v>
      </c>
      <c r="C30" t="s">
        <v>38</v>
      </c>
      <c r="D30" t="s">
        <v>39</v>
      </c>
      <c r="E30" t="s">
        <v>17</v>
      </c>
      <c r="F30" t="s">
        <v>13</v>
      </c>
      <c r="G30">
        <v>3</v>
      </c>
      <c r="H30">
        <v>3000</v>
      </c>
      <c r="I30">
        <v>9000</v>
      </c>
      <c r="J30" s="2">
        <v>45513</v>
      </c>
      <c r="K30" t="s">
        <v>361</v>
      </c>
    </row>
    <row r="31" spans="1:11" x14ac:dyDescent="0.25">
      <c r="A31">
        <v>1392</v>
      </c>
      <c r="B31" t="s">
        <v>289</v>
      </c>
      <c r="C31" t="s">
        <v>24</v>
      </c>
      <c r="D31" t="s">
        <v>11</v>
      </c>
      <c r="E31" t="s">
        <v>17</v>
      </c>
      <c r="F31" t="s">
        <v>13</v>
      </c>
      <c r="G31">
        <v>1</v>
      </c>
      <c r="H31">
        <v>3000</v>
      </c>
      <c r="I31">
        <v>3000</v>
      </c>
      <c r="J31" s="2">
        <v>45500</v>
      </c>
      <c r="K31" t="s">
        <v>360</v>
      </c>
    </row>
    <row r="32" spans="1:11" x14ac:dyDescent="0.25">
      <c r="A32">
        <v>1379</v>
      </c>
      <c r="B32" t="s">
        <v>103</v>
      </c>
      <c r="C32" t="s">
        <v>28</v>
      </c>
      <c r="D32" t="s">
        <v>33</v>
      </c>
      <c r="E32" t="s">
        <v>17</v>
      </c>
      <c r="F32" t="s">
        <v>13</v>
      </c>
      <c r="G32">
        <v>4</v>
      </c>
      <c r="H32">
        <v>3000</v>
      </c>
      <c r="I32">
        <v>12000</v>
      </c>
      <c r="J32" s="2">
        <v>45631</v>
      </c>
      <c r="K32" t="s">
        <v>365</v>
      </c>
    </row>
    <row r="33" spans="1:11" x14ac:dyDescent="0.25">
      <c r="A33">
        <v>1030</v>
      </c>
      <c r="B33" t="s">
        <v>67</v>
      </c>
      <c r="C33" t="s">
        <v>28</v>
      </c>
      <c r="D33" t="s">
        <v>39</v>
      </c>
      <c r="E33" t="s">
        <v>17</v>
      </c>
      <c r="F33" t="s">
        <v>13</v>
      </c>
      <c r="G33">
        <v>1</v>
      </c>
      <c r="H33">
        <v>3000</v>
      </c>
      <c r="I33">
        <v>3000</v>
      </c>
      <c r="J33" s="2">
        <v>45550</v>
      </c>
      <c r="K33" t="s">
        <v>362</v>
      </c>
    </row>
    <row r="34" spans="1:11" x14ac:dyDescent="0.25">
      <c r="A34">
        <v>1375</v>
      </c>
      <c r="B34" t="s">
        <v>89</v>
      </c>
      <c r="C34" t="s">
        <v>24</v>
      </c>
      <c r="D34" t="s">
        <v>25</v>
      </c>
      <c r="E34" t="s">
        <v>17</v>
      </c>
      <c r="F34" t="s">
        <v>13</v>
      </c>
      <c r="G34">
        <v>4</v>
      </c>
      <c r="H34">
        <v>3000</v>
      </c>
      <c r="I34">
        <v>12000</v>
      </c>
      <c r="J34" s="2">
        <v>45436</v>
      </c>
      <c r="K34" t="s">
        <v>358</v>
      </c>
    </row>
    <row r="35" spans="1:11" x14ac:dyDescent="0.25">
      <c r="A35">
        <v>1374</v>
      </c>
      <c r="B35" t="s">
        <v>281</v>
      </c>
      <c r="C35" t="s">
        <v>19</v>
      </c>
      <c r="D35" t="s">
        <v>20</v>
      </c>
      <c r="E35" t="s">
        <v>17</v>
      </c>
      <c r="F35" t="s">
        <v>13</v>
      </c>
      <c r="G35">
        <v>4</v>
      </c>
      <c r="H35">
        <v>3000</v>
      </c>
      <c r="I35">
        <v>12000</v>
      </c>
      <c r="J35" s="2">
        <v>45589</v>
      </c>
      <c r="K35" t="s">
        <v>363</v>
      </c>
    </row>
    <row r="36" spans="1:11" x14ac:dyDescent="0.25">
      <c r="A36">
        <v>1356</v>
      </c>
      <c r="B36" t="s">
        <v>274</v>
      </c>
      <c r="C36" t="s">
        <v>24</v>
      </c>
      <c r="D36" t="s">
        <v>33</v>
      </c>
      <c r="E36" t="s">
        <v>17</v>
      </c>
      <c r="F36" t="s">
        <v>13</v>
      </c>
      <c r="G36">
        <v>3</v>
      </c>
      <c r="H36">
        <v>3000</v>
      </c>
      <c r="I36">
        <v>9000</v>
      </c>
      <c r="J36" s="2">
        <v>45504</v>
      </c>
      <c r="K36" t="s">
        <v>360</v>
      </c>
    </row>
    <row r="37" spans="1:11" x14ac:dyDescent="0.25">
      <c r="A37">
        <v>1355</v>
      </c>
      <c r="B37" t="s">
        <v>18</v>
      </c>
      <c r="C37" t="s">
        <v>24</v>
      </c>
      <c r="D37" t="s">
        <v>33</v>
      </c>
      <c r="E37" t="s">
        <v>17</v>
      </c>
      <c r="F37" t="s">
        <v>13</v>
      </c>
      <c r="G37">
        <v>4</v>
      </c>
      <c r="H37">
        <v>3000</v>
      </c>
      <c r="I37">
        <v>12000</v>
      </c>
      <c r="J37" s="2">
        <v>45567</v>
      </c>
      <c r="K37" t="s">
        <v>363</v>
      </c>
    </row>
    <row r="38" spans="1:11" x14ac:dyDescent="0.25">
      <c r="A38">
        <v>1352</v>
      </c>
      <c r="B38" t="s">
        <v>254</v>
      </c>
      <c r="C38" t="s">
        <v>38</v>
      </c>
      <c r="D38" t="s">
        <v>16</v>
      </c>
      <c r="E38" t="s">
        <v>17</v>
      </c>
      <c r="F38" t="s">
        <v>13</v>
      </c>
      <c r="G38">
        <v>2</v>
      </c>
      <c r="H38">
        <v>3000</v>
      </c>
      <c r="I38">
        <v>6000</v>
      </c>
      <c r="J38" s="2">
        <v>45592</v>
      </c>
      <c r="K38" t="s">
        <v>363</v>
      </c>
    </row>
    <row r="39" spans="1:11" x14ac:dyDescent="0.25">
      <c r="A39">
        <v>1347</v>
      </c>
      <c r="B39" t="s">
        <v>156</v>
      </c>
      <c r="C39" t="s">
        <v>10</v>
      </c>
      <c r="D39" t="s">
        <v>33</v>
      </c>
      <c r="E39" t="s">
        <v>17</v>
      </c>
      <c r="F39" t="s">
        <v>13</v>
      </c>
      <c r="G39">
        <v>5</v>
      </c>
      <c r="H39">
        <v>3000</v>
      </c>
      <c r="I39">
        <v>15000</v>
      </c>
      <c r="J39" s="2">
        <v>45310</v>
      </c>
      <c r="K39" t="s">
        <v>354</v>
      </c>
    </row>
    <row r="40" spans="1:11" x14ac:dyDescent="0.25">
      <c r="A40">
        <v>1037</v>
      </c>
      <c r="B40" t="s">
        <v>73</v>
      </c>
      <c r="C40" t="s">
        <v>19</v>
      </c>
      <c r="D40" t="s">
        <v>47</v>
      </c>
      <c r="E40" t="s">
        <v>17</v>
      </c>
      <c r="F40" t="s">
        <v>13</v>
      </c>
      <c r="G40">
        <v>5</v>
      </c>
      <c r="H40">
        <v>3000</v>
      </c>
      <c r="I40">
        <v>15000</v>
      </c>
      <c r="J40" s="2">
        <v>45559</v>
      </c>
      <c r="K40" t="s">
        <v>362</v>
      </c>
    </row>
    <row r="41" spans="1:11" x14ac:dyDescent="0.25">
      <c r="A41">
        <v>1342</v>
      </c>
      <c r="B41" t="s">
        <v>244</v>
      </c>
      <c r="C41" t="s">
        <v>10</v>
      </c>
      <c r="D41" t="s">
        <v>39</v>
      </c>
      <c r="E41" t="s">
        <v>17</v>
      </c>
      <c r="F41" t="s">
        <v>13</v>
      </c>
      <c r="G41">
        <v>4</v>
      </c>
      <c r="H41">
        <v>3000</v>
      </c>
      <c r="I41">
        <v>12000</v>
      </c>
      <c r="J41" s="2">
        <v>45346</v>
      </c>
      <c r="K41" t="s">
        <v>355</v>
      </c>
    </row>
    <row r="42" spans="1:11" x14ac:dyDescent="0.25">
      <c r="A42">
        <v>1322</v>
      </c>
      <c r="B42" t="s">
        <v>94</v>
      </c>
      <c r="C42" t="s">
        <v>28</v>
      </c>
      <c r="D42" t="s">
        <v>20</v>
      </c>
      <c r="E42" t="s">
        <v>17</v>
      </c>
      <c r="F42" t="s">
        <v>13</v>
      </c>
      <c r="G42">
        <v>1</v>
      </c>
      <c r="H42">
        <v>3000</v>
      </c>
      <c r="I42">
        <v>3000</v>
      </c>
      <c r="J42" s="2">
        <v>45553</v>
      </c>
      <c r="K42" t="s">
        <v>362</v>
      </c>
    </row>
    <row r="43" spans="1:11" x14ac:dyDescent="0.25">
      <c r="A43">
        <v>1320</v>
      </c>
      <c r="B43" t="s">
        <v>115</v>
      </c>
      <c r="C43" t="s">
        <v>24</v>
      </c>
      <c r="D43" t="s">
        <v>33</v>
      </c>
      <c r="E43" t="s">
        <v>17</v>
      </c>
      <c r="F43" t="s">
        <v>13</v>
      </c>
      <c r="G43">
        <v>4</v>
      </c>
      <c r="H43">
        <v>3000</v>
      </c>
      <c r="I43">
        <v>12000</v>
      </c>
      <c r="J43" s="2">
        <v>45605</v>
      </c>
      <c r="K43" t="s">
        <v>364</v>
      </c>
    </row>
    <row r="44" spans="1:11" x14ac:dyDescent="0.25">
      <c r="A44">
        <v>1312</v>
      </c>
      <c r="B44" t="s">
        <v>253</v>
      </c>
      <c r="C44" t="s">
        <v>30</v>
      </c>
      <c r="D44" t="s">
        <v>11</v>
      </c>
      <c r="E44" t="s">
        <v>17</v>
      </c>
      <c r="F44" t="s">
        <v>13</v>
      </c>
      <c r="G44">
        <v>4</v>
      </c>
      <c r="H44">
        <v>3000</v>
      </c>
      <c r="I44">
        <v>12000</v>
      </c>
      <c r="J44" s="2">
        <v>45327</v>
      </c>
      <c r="K44" t="s">
        <v>355</v>
      </c>
    </row>
    <row r="45" spans="1:11" x14ac:dyDescent="0.25">
      <c r="A45">
        <v>1306</v>
      </c>
      <c r="B45" t="s">
        <v>135</v>
      </c>
      <c r="C45" t="s">
        <v>38</v>
      </c>
      <c r="D45" t="s">
        <v>20</v>
      </c>
      <c r="E45" t="s">
        <v>17</v>
      </c>
      <c r="F45" t="s">
        <v>13</v>
      </c>
      <c r="G45">
        <v>2</v>
      </c>
      <c r="H45">
        <v>3000</v>
      </c>
      <c r="I45">
        <v>6000</v>
      </c>
      <c r="J45" s="2">
        <v>45390</v>
      </c>
      <c r="K45" t="s">
        <v>357</v>
      </c>
    </row>
    <row r="46" spans="1:11" x14ac:dyDescent="0.25">
      <c r="A46">
        <v>1305</v>
      </c>
      <c r="B46" t="s">
        <v>190</v>
      </c>
      <c r="C46" t="s">
        <v>24</v>
      </c>
      <c r="D46" t="s">
        <v>20</v>
      </c>
      <c r="E46" t="s">
        <v>17</v>
      </c>
      <c r="F46" t="s">
        <v>13</v>
      </c>
      <c r="G46">
        <v>4</v>
      </c>
      <c r="H46">
        <v>3000</v>
      </c>
      <c r="I46">
        <v>12000</v>
      </c>
      <c r="J46" s="2">
        <v>45344</v>
      </c>
      <c r="K46" t="s">
        <v>355</v>
      </c>
    </row>
    <row r="47" spans="1:11" x14ac:dyDescent="0.25">
      <c r="A47">
        <v>1292</v>
      </c>
      <c r="B47" t="s">
        <v>244</v>
      </c>
      <c r="C47" t="s">
        <v>53</v>
      </c>
      <c r="D47" t="s">
        <v>33</v>
      </c>
      <c r="E47" t="s">
        <v>17</v>
      </c>
      <c r="F47" t="s">
        <v>13</v>
      </c>
      <c r="G47">
        <v>5</v>
      </c>
      <c r="H47">
        <v>3000</v>
      </c>
      <c r="I47">
        <v>15000</v>
      </c>
      <c r="J47" s="2">
        <v>45346</v>
      </c>
      <c r="K47" t="s">
        <v>355</v>
      </c>
    </row>
    <row r="48" spans="1:11" x14ac:dyDescent="0.25">
      <c r="A48">
        <v>1278</v>
      </c>
      <c r="B48" t="s">
        <v>85</v>
      </c>
      <c r="C48" t="s">
        <v>30</v>
      </c>
      <c r="D48" t="s">
        <v>16</v>
      </c>
      <c r="E48" t="s">
        <v>17</v>
      </c>
      <c r="F48" t="s">
        <v>13</v>
      </c>
      <c r="G48">
        <v>5</v>
      </c>
      <c r="H48">
        <v>3000</v>
      </c>
      <c r="I48">
        <v>15000</v>
      </c>
      <c r="J48" s="2">
        <v>45600</v>
      </c>
      <c r="K48" t="s">
        <v>364</v>
      </c>
    </row>
    <row r="49" spans="1:11" x14ac:dyDescent="0.25">
      <c r="A49">
        <v>1264</v>
      </c>
      <c r="B49" t="s">
        <v>115</v>
      </c>
      <c r="C49" t="s">
        <v>30</v>
      </c>
      <c r="D49" t="s">
        <v>16</v>
      </c>
      <c r="E49" t="s">
        <v>17</v>
      </c>
      <c r="F49" t="s">
        <v>13</v>
      </c>
      <c r="G49">
        <v>2</v>
      </c>
      <c r="H49">
        <v>3000</v>
      </c>
      <c r="I49">
        <v>6000</v>
      </c>
      <c r="J49" s="2">
        <v>45605</v>
      </c>
      <c r="K49" t="s">
        <v>364</v>
      </c>
    </row>
    <row r="50" spans="1:11" x14ac:dyDescent="0.25">
      <c r="A50">
        <v>1047</v>
      </c>
      <c r="B50" t="s">
        <v>83</v>
      </c>
      <c r="C50" t="s">
        <v>50</v>
      </c>
      <c r="D50" t="s">
        <v>47</v>
      </c>
      <c r="E50" t="s">
        <v>17</v>
      </c>
      <c r="F50" t="s">
        <v>13</v>
      </c>
      <c r="G50">
        <v>4</v>
      </c>
      <c r="H50">
        <v>3000</v>
      </c>
      <c r="I50">
        <v>12000</v>
      </c>
      <c r="J50" s="2">
        <v>45601</v>
      </c>
      <c r="K50" t="s">
        <v>364</v>
      </c>
    </row>
    <row r="51" spans="1:11" x14ac:dyDescent="0.25">
      <c r="A51">
        <v>1258</v>
      </c>
      <c r="B51" t="s">
        <v>226</v>
      </c>
      <c r="C51" t="s">
        <v>30</v>
      </c>
      <c r="D51" t="s">
        <v>33</v>
      </c>
      <c r="E51" t="s">
        <v>17</v>
      </c>
      <c r="F51" t="s">
        <v>13</v>
      </c>
      <c r="G51">
        <v>2</v>
      </c>
      <c r="H51">
        <v>3000</v>
      </c>
      <c r="I51">
        <v>6000</v>
      </c>
      <c r="J51" s="2">
        <v>45556</v>
      </c>
      <c r="K51" t="s">
        <v>362</v>
      </c>
    </row>
    <row r="52" spans="1:11" x14ac:dyDescent="0.25">
      <c r="A52">
        <v>1257</v>
      </c>
      <c r="B52" t="s">
        <v>129</v>
      </c>
      <c r="C52" t="s">
        <v>28</v>
      </c>
      <c r="D52" t="s">
        <v>16</v>
      </c>
      <c r="E52" t="s">
        <v>17</v>
      </c>
      <c r="F52" t="s">
        <v>13</v>
      </c>
      <c r="G52">
        <v>1</v>
      </c>
      <c r="H52">
        <v>3000</v>
      </c>
      <c r="I52">
        <v>3000</v>
      </c>
      <c r="J52" s="2">
        <v>45340</v>
      </c>
      <c r="K52" t="s">
        <v>355</v>
      </c>
    </row>
    <row r="53" spans="1:11" x14ac:dyDescent="0.25">
      <c r="A53">
        <v>1241</v>
      </c>
      <c r="B53" t="s">
        <v>179</v>
      </c>
      <c r="C53" t="s">
        <v>50</v>
      </c>
      <c r="D53" t="s">
        <v>47</v>
      </c>
      <c r="E53" t="s">
        <v>17</v>
      </c>
      <c r="F53" t="s">
        <v>13</v>
      </c>
      <c r="G53">
        <v>2</v>
      </c>
      <c r="H53">
        <v>3000</v>
      </c>
      <c r="I53">
        <v>6000</v>
      </c>
      <c r="J53" s="2">
        <v>45424</v>
      </c>
      <c r="K53" t="s">
        <v>358</v>
      </c>
    </row>
    <row r="54" spans="1:11" x14ac:dyDescent="0.25">
      <c r="A54">
        <v>1227</v>
      </c>
      <c r="B54" t="s">
        <v>141</v>
      </c>
      <c r="C54" t="s">
        <v>15</v>
      </c>
      <c r="D54" t="s">
        <v>33</v>
      </c>
      <c r="E54" t="s">
        <v>17</v>
      </c>
      <c r="F54" t="s">
        <v>13</v>
      </c>
      <c r="G54">
        <v>3</v>
      </c>
      <c r="H54">
        <v>3000</v>
      </c>
      <c r="I54">
        <v>9000</v>
      </c>
      <c r="J54" s="2">
        <v>45382</v>
      </c>
      <c r="K54" t="s">
        <v>356</v>
      </c>
    </row>
    <row r="55" spans="1:11" x14ac:dyDescent="0.25">
      <c r="A55">
        <v>1221</v>
      </c>
      <c r="B55" t="s">
        <v>205</v>
      </c>
      <c r="C55" t="s">
        <v>15</v>
      </c>
      <c r="D55" t="s">
        <v>47</v>
      </c>
      <c r="E55" t="s">
        <v>17</v>
      </c>
      <c r="F55" t="s">
        <v>13</v>
      </c>
      <c r="G55">
        <v>3</v>
      </c>
      <c r="H55">
        <v>3000</v>
      </c>
      <c r="I55">
        <v>9000</v>
      </c>
      <c r="J55" s="2">
        <v>45518</v>
      </c>
      <c r="K55" t="s">
        <v>361</v>
      </c>
    </row>
    <row r="56" spans="1:11" x14ac:dyDescent="0.25">
      <c r="A56">
        <v>1219</v>
      </c>
      <c r="B56" t="s">
        <v>203</v>
      </c>
      <c r="C56" t="s">
        <v>57</v>
      </c>
      <c r="D56" t="s">
        <v>25</v>
      </c>
      <c r="E56" t="s">
        <v>17</v>
      </c>
      <c r="F56" t="s">
        <v>13</v>
      </c>
      <c r="G56">
        <v>4</v>
      </c>
      <c r="H56">
        <v>3000</v>
      </c>
      <c r="I56">
        <v>12000</v>
      </c>
      <c r="J56" s="2">
        <v>45639</v>
      </c>
      <c r="K56" t="s">
        <v>365</v>
      </c>
    </row>
    <row r="57" spans="1:11" x14ac:dyDescent="0.25">
      <c r="A57">
        <v>1195</v>
      </c>
      <c r="B57" t="s">
        <v>136</v>
      </c>
      <c r="C57" t="s">
        <v>10</v>
      </c>
      <c r="D57" t="s">
        <v>20</v>
      </c>
      <c r="E57" t="s">
        <v>17</v>
      </c>
      <c r="F57" t="s">
        <v>13</v>
      </c>
      <c r="G57">
        <v>1</v>
      </c>
      <c r="H57">
        <v>3000</v>
      </c>
      <c r="I57">
        <v>3000</v>
      </c>
      <c r="J57" s="2">
        <v>45495</v>
      </c>
      <c r="K57" t="s">
        <v>360</v>
      </c>
    </row>
    <row r="58" spans="1:11" x14ac:dyDescent="0.25">
      <c r="A58">
        <v>1190</v>
      </c>
      <c r="B58" t="s">
        <v>186</v>
      </c>
      <c r="C58" t="s">
        <v>30</v>
      </c>
      <c r="D58" t="s">
        <v>47</v>
      </c>
      <c r="E58" t="s">
        <v>17</v>
      </c>
      <c r="F58" t="s">
        <v>13</v>
      </c>
      <c r="G58">
        <v>5</v>
      </c>
      <c r="H58">
        <v>3000</v>
      </c>
      <c r="I58">
        <v>15000</v>
      </c>
      <c r="J58" s="2">
        <v>45416</v>
      </c>
      <c r="K58" t="s">
        <v>358</v>
      </c>
    </row>
    <row r="59" spans="1:11" x14ac:dyDescent="0.25">
      <c r="A59">
        <v>1189</v>
      </c>
      <c r="B59" t="s">
        <v>185</v>
      </c>
      <c r="C59" t="s">
        <v>32</v>
      </c>
      <c r="D59" t="s">
        <v>16</v>
      </c>
      <c r="E59" t="s">
        <v>17</v>
      </c>
      <c r="F59" t="s">
        <v>13</v>
      </c>
      <c r="G59">
        <v>5</v>
      </c>
      <c r="H59">
        <v>3000</v>
      </c>
      <c r="I59">
        <v>15000</v>
      </c>
      <c r="J59" s="2">
        <v>45546</v>
      </c>
      <c r="K59" t="s">
        <v>362</v>
      </c>
    </row>
    <row r="60" spans="1:11" x14ac:dyDescent="0.25">
      <c r="A60">
        <v>1057</v>
      </c>
      <c r="B60" t="s">
        <v>93</v>
      </c>
      <c r="C60" t="s">
        <v>30</v>
      </c>
      <c r="D60" t="s">
        <v>16</v>
      </c>
      <c r="E60" t="s">
        <v>17</v>
      </c>
      <c r="F60" t="s">
        <v>13</v>
      </c>
      <c r="G60">
        <v>2</v>
      </c>
      <c r="H60">
        <v>3000</v>
      </c>
      <c r="I60">
        <v>6000</v>
      </c>
      <c r="J60" s="2">
        <v>45404</v>
      </c>
      <c r="K60" t="s">
        <v>357</v>
      </c>
    </row>
    <row r="61" spans="1:11" x14ac:dyDescent="0.25">
      <c r="A61">
        <v>1174</v>
      </c>
      <c r="B61" t="s">
        <v>142</v>
      </c>
      <c r="C61" t="s">
        <v>53</v>
      </c>
      <c r="D61" t="s">
        <v>11</v>
      </c>
      <c r="E61" t="s">
        <v>17</v>
      </c>
      <c r="F61" t="s">
        <v>13</v>
      </c>
      <c r="G61">
        <v>4</v>
      </c>
      <c r="H61">
        <v>3000</v>
      </c>
      <c r="I61">
        <v>12000</v>
      </c>
      <c r="J61" s="2">
        <v>45547</v>
      </c>
      <c r="K61" t="s">
        <v>362</v>
      </c>
    </row>
    <row r="62" spans="1:11" x14ac:dyDescent="0.25">
      <c r="A62">
        <v>1166</v>
      </c>
      <c r="B62" t="s">
        <v>174</v>
      </c>
      <c r="C62" t="s">
        <v>57</v>
      </c>
      <c r="D62" t="s">
        <v>16</v>
      </c>
      <c r="E62" t="s">
        <v>17</v>
      </c>
      <c r="F62" t="s">
        <v>13</v>
      </c>
      <c r="G62">
        <v>4</v>
      </c>
      <c r="H62">
        <v>3000</v>
      </c>
      <c r="I62">
        <v>12000</v>
      </c>
      <c r="J62" s="2">
        <v>45485</v>
      </c>
      <c r="K62" t="s">
        <v>360</v>
      </c>
    </row>
    <row r="63" spans="1:11" x14ac:dyDescent="0.25">
      <c r="A63">
        <v>1165</v>
      </c>
      <c r="B63" t="s">
        <v>173</v>
      </c>
      <c r="C63" t="s">
        <v>53</v>
      </c>
      <c r="D63" t="s">
        <v>39</v>
      </c>
      <c r="E63" t="s">
        <v>17</v>
      </c>
      <c r="F63" t="s">
        <v>13</v>
      </c>
      <c r="G63">
        <v>2</v>
      </c>
      <c r="H63">
        <v>3000</v>
      </c>
      <c r="I63">
        <v>6000</v>
      </c>
      <c r="J63" s="2">
        <v>45314</v>
      </c>
      <c r="K63" t="s">
        <v>354</v>
      </c>
    </row>
    <row r="64" spans="1:11" x14ac:dyDescent="0.25">
      <c r="A64">
        <v>1159</v>
      </c>
      <c r="B64" t="s">
        <v>63</v>
      </c>
      <c r="C64" t="s">
        <v>10</v>
      </c>
      <c r="D64" t="s">
        <v>25</v>
      </c>
      <c r="E64" t="s">
        <v>17</v>
      </c>
      <c r="F64" t="s">
        <v>13</v>
      </c>
      <c r="G64">
        <v>3</v>
      </c>
      <c r="H64">
        <v>3000</v>
      </c>
      <c r="I64">
        <v>9000</v>
      </c>
      <c r="J64" s="2">
        <v>45459</v>
      </c>
      <c r="K64" t="s">
        <v>359</v>
      </c>
    </row>
    <row r="65" spans="1:11" x14ac:dyDescent="0.25">
      <c r="A65">
        <v>1152</v>
      </c>
      <c r="B65" t="s">
        <v>127</v>
      </c>
      <c r="C65" t="s">
        <v>15</v>
      </c>
      <c r="D65" t="s">
        <v>16</v>
      </c>
      <c r="E65" t="s">
        <v>17</v>
      </c>
      <c r="F65" t="s">
        <v>13</v>
      </c>
      <c r="G65">
        <v>4</v>
      </c>
      <c r="H65">
        <v>3000</v>
      </c>
      <c r="I65">
        <v>12000</v>
      </c>
      <c r="J65" s="2">
        <v>45387</v>
      </c>
      <c r="K65" t="s">
        <v>357</v>
      </c>
    </row>
    <row r="66" spans="1:11" x14ac:dyDescent="0.25">
      <c r="A66">
        <v>1149</v>
      </c>
      <c r="B66" t="s">
        <v>164</v>
      </c>
      <c r="C66" t="s">
        <v>15</v>
      </c>
      <c r="D66" t="s">
        <v>20</v>
      </c>
      <c r="E66" t="s">
        <v>17</v>
      </c>
      <c r="F66" t="s">
        <v>13</v>
      </c>
      <c r="G66">
        <v>4</v>
      </c>
      <c r="H66">
        <v>3000</v>
      </c>
      <c r="I66">
        <v>12000</v>
      </c>
      <c r="J66" s="2">
        <v>45315</v>
      </c>
      <c r="K66" t="s">
        <v>354</v>
      </c>
    </row>
    <row r="67" spans="1:11" x14ac:dyDescent="0.25">
      <c r="A67">
        <v>1136</v>
      </c>
      <c r="B67" t="s">
        <v>157</v>
      </c>
      <c r="C67" t="s">
        <v>50</v>
      </c>
      <c r="D67" t="s">
        <v>39</v>
      </c>
      <c r="E67" t="s">
        <v>17</v>
      </c>
      <c r="F67" t="s">
        <v>13</v>
      </c>
      <c r="G67">
        <v>3</v>
      </c>
      <c r="H67">
        <v>3000</v>
      </c>
      <c r="I67">
        <v>9000</v>
      </c>
      <c r="J67" s="2">
        <v>45396</v>
      </c>
      <c r="K67" t="s">
        <v>357</v>
      </c>
    </row>
    <row r="68" spans="1:11" x14ac:dyDescent="0.25">
      <c r="A68">
        <v>1065</v>
      </c>
      <c r="B68" t="s">
        <v>99</v>
      </c>
      <c r="C68" t="s">
        <v>30</v>
      </c>
      <c r="D68" t="s">
        <v>25</v>
      </c>
      <c r="E68" t="s">
        <v>17</v>
      </c>
      <c r="F68" t="s">
        <v>13</v>
      </c>
      <c r="G68">
        <v>1</v>
      </c>
      <c r="H68">
        <v>3000</v>
      </c>
      <c r="I68">
        <v>3000</v>
      </c>
      <c r="J68" s="2">
        <v>45323</v>
      </c>
      <c r="K68" t="s">
        <v>355</v>
      </c>
    </row>
    <row r="69" spans="1:11" x14ac:dyDescent="0.25">
      <c r="A69">
        <v>1131</v>
      </c>
      <c r="B69" t="s">
        <v>152</v>
      </c>
      <c r="C69" t="s">
        <v>30</v>
      </c>
      <c r="D69" t="s">
        <v>25</v>
      </c>
      <c r="E69" t="s">
        <v>17</v>
      </c>
      <c r="F69" t="s">
        <v>13</v>
      </c>
      <c r="G69">
        <v>2</v>
      </c>
      <c r="H69">
        <v>3000</v>
      </c>
      <c r="I69">
        <v>6000</v>
      </c>
      <c r="J69" s="2">
        <v>45630</v>
      </c>
      <c r="K69" t="s">
        <v>365</v>
      </c>
    </row>
    <row r="70" spans="1:11" x14ac:dyDescent="0.25">
      <c r="A70">
        <v>1097</v>
      </c>
      <c r="B70" t="s">
        <v>127</v>
      </c>
      <c r="C70" t="s">
        <v>50</v>
      </c>
      <c r="D70" t="s">
        <v>47</v>
      </c>
      <c r="E70" t="s">
        <v>17</v>
      </c>
      <c r="F70" t="s">
        <v>13</v>
      </c>
      <c r="G70">
        <v>4</v>
      </c>
      <c r="H70">
        <v>3000</v>
      </c>
      <c r="I70">
        <v>12000</v>
      </c>
      <c r="J70" s="2">
        <v>45387</v>
      </c>
      <c r="K70" t="s">
        <v>357</v>
      </c>
    </row>
    <row r="71" spans="1:11" x14ac:dyDescent="0.25">
      <c r="A71">
        <v>1088</v>
      </c>
      <c r="B71" t="s">
        <v>118</v>
      </c>
      <c r="C71" t="s">
        <v>50</v>
      </c>
      <c r="D71" t="s">
        <v>11</v>
      </c>
      <c r="E71" t="s">
        <v>17</v>
      </c>
      <c r="F71" t="s">
        <v>13</v>
      </c>
      <c r="G71">
        <v>5</v>
      </c>
      <c r="H71">
        <v>3000</v>
      </c>
      <c r="I71">
        <v>15000</v>
      </c>
      <c r="J71" s="2">
        <v>45383</v>
      </c>
      <c r="K71" t="s">
        <v>357</v>
      </c>
    </row>
    <row r="72" spans="1:11" x14ac:dyDescent="0.25">
      <c r="A72">
        <v>1080</v>
      </c>
      <c r="B72" t="s">
        <v>111</v>
      </c>
      <c r="C72" t="s">
        <v>28</v>
      </c>
      <c r="D72" t="s">
        <v>39</v>
      </c>
      <c r="E72" t="s">
        <v>17</v>
      </c>
      <c r="F72" t="s">
        <v>13</v>
      </c>
      <c r="G72">
        <v>2</v>
      </c>
      <c r="H72">
        <v>3000</v>
      </c>
      <c r="I72">
        <v>6000</v>
      </c>
      <c r="J72" s="2">
        <v>45297</v>
      </c>
      <c r="K72" t="s">
        <v>354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CD5B-B6B3-48EA-8FE8-F51E21FA5F4E}">
  <dimension ref="A3:K26"/>
  <sheetViews>
    <sheetView tabSelected="1" workbookViewId="0">
      <selection activeCell="G2" sqref="G2"/>
    </sheetView>
  </sheetViews>
  <sheetFormatPr defaultRowHeight="15" x14ac:dyDescent="0.25"/>
  <cols>
    <col min="1" max="1" width="13.140625" bestFit="1" customWidth="1"/>
    <col min="2" max="2" width="17.28515625" bestFit="1" customWidth="1"/>
    <col min="4" max="4" width="13.140625" bestFit="1" customWidth="1"/>
    <col min="5" max="6" width="17.28515625" bestFit="1" customWidth="1"/>
    <col min="7" max="7" width="13.140625" bestFit="1" customWidth="1"/>
    <col min="8" max="8" width="17.28515625" bestFit="1" customWidth="1"/>
    <col min="9" max="10" width="13.140625" bestFit="1" customWidth="1"/>
    <col min="11" max="12" width="17.28515625" bestFit="1" customWidth="1"/>
  </cols>
  <sheetData>
    <row r="3" spans="1:11" x14ac:dyDescent="0.25">
      <c r="A3" s="3" t="s">
        <v>351</v>
      </c>
      <c r="B3" t="s">
        <v>353</v>
      </c>
    </row>
    <row r="4" spans="1:11" x14ac:dyDescent="0.25">
      <c r="A4" s="4" t="s">
        <v>22</v>
      </c>
      <c r="B4" s="5">
        <v>1557500</v>
      </c>
    </row>
    <row r="5" spans="1:11" x14ac:dyDescent="0.25">
      <c r="A5" s="4" t="s">
        <v>352</v>
      </c>
      <c r="B5" s="5">
        <v>1557500</v>
      </c>
    </row>
    <row r="13" spans="1:11" x14ac:dyDescent="0.25">
      <c r="A13" s="3" t="s">
        <v>351</v>
      </c>
      <c r="B13" t="s">
        <v>353</v>
      </c>
      <c r="D13" s="3" t="s">
        <v>351</v>
      </c>
      <c r="E13" t="s">
        <v>353</v>
      </c>
      <c r="G13" s="3" t="s">
        <v>351</v>
      </c>
      <c r="H13" t="s">
        <v>353</v>
      </c>
    </row>
    <row r="14" spans="1:11" x14ac:dyDescent="0.25">
      <c r="A14" s="4" t="s">
        <v>16</v>
      </c>
      <c r="B14" s="5">
        <v>1557500</v>
      </c>
      <c r="D14" s="4" t="s">
        <v>26</v>
      </c>
      <c r="E14" s="5">
        <v>77500</v>
      </c>
      <c r="G14" s="4" t="s">
        <v>354</v>
      </c>
      <c r="H14" s="5">
        <v>280000</v>
      </c>
      <c r="J14" s="3" t="s">
        <v>351</v>
      </c>
      <c r="K14" t="s">
        <v>353</v>
      </c>
    </row>
    <row r="15" spans="1:11" x14ac:dyDescent="0.25">
      <c r="A15" s="4" t="s">
        <v>352</v>
      </c>
      <c r="B15" s="5">
        <v>1557500</v>
      </c>
      <c r="D15" s="4" t="s">
        <v>21</v>
      </c>
      <c r="E15" s="5">
        <v>400000</v>
      </c>
      <c r="G15" s="4" t="s">
        <v>355</v>
      </c>
      <c r="H15" s="5">
        <v>80000</v>
      </c>
      <c r="J15" s="4" t="s">
        <v>42</v>
      </c>
      <c r="K15" s="5">
        <v>125000</v>
      </c>
    </row>
    <row r="16" spans="1:11" x14ac:dyDescent="0.25">
      <c r="D16" s="4" t="s">
        <v>35</v>
      </c>
      <c r="E16" s="5">
        <v>1080000</v>
      </c>
      <c r="G16" s="4" t="s">
        <v>356</v>
      </c>
      <c r="H16" s="5">
        <v>250000</v>
      </c>
      <c r="J16" s="4" t="s">
        <v>53</v>
      </c>
      <c r="K16" s="5">
        <v>120000</v>
      </c>
    </row>
    <row r="17" spans="4:11" x14ac:dyDescent="0.25">
      <c r="D17" s="4" t="s">
        <v>352</v>
      </c>
      <c r="E17" s="5">
        <v>1557500</v>
      </c>
      <c r="G17" s="4" t="s">
        <v>357</v>
      </c>
      <c r="H17" s="5">
        <v>42500</v>
      </c>
      <c r="J17" s="4" t="s">
        <v>28</v>
      </c>
      <c r="K17" s="5">
        <v>95000</v>
      </c>
    </row>
    <row r="18" spans="4:11" x14ac:dyDescent="0.25">
      <c r="G18" s="4" t="s">
        <v>358</v>
      </c>
      <c r="H18" s="5">
        <v>395000</v>
      </c>
      <c r="J18" s="4" t="s">
        <v>10</v>
      </c>
      <c r="K18" s="5">
        <v>200000</v>
      </c>
    </row>
    <row r="19" spans="4:11" x14ac:dyDescent="0.25">
      <c r="G19" s="4" t="s">
        <v>361</v>
      </c>
      <c r="H19" s="5">
        <v>180000</v>
      </c>
      <c r="J19" s="4" t="s">
        <v>50</v>
      </c>
      <c r="K19" s="5">
        <v>140000</v>
      </c>
    </row>
    <row r="20" spans="4:11" x14ac:dyDescent="0.25">
      <c r="G20" s="4" t="s">
        <v>364</v>
      </c>
      <c r="H20" s="5">
        <v>122500</v>
      </c>
      <c r="J20" s="4" t="s">
        <v>38</v>
      </c>
      <c r="K20" s="5">
        <v>322500</v>
      </c>
    </row>
    <row r="21" spans="4:11" x14ac:dyDescent="0.25">
      <c r="G21" s="4" t="s">
        <v>365</v>
      </c>
      <c r="H21" s="5">
        <v>207500</v>
      </c>
      <c r="J21" s="4" t="s">
        <v>19</v>
      </c>
      <c r="K21" s="5">
        <v>152500</v>
      </c>
    </row>
    <row r="22" spans="4:11" x14ac:dyDescent="0.25">
      <c r="G22" s="4" t="s">
        <v>352</v>
      </c>
      <c r="H22" s="5">
        <v>1557500</v>
      </c>
      <c r="J22" s="4" t="s">
        <v>15</v>
      </c>
      <c r="K22" s="5">
        <v>112500</v>
      </c>
    </row>
    <row r="23" spans="4:11" x14ac:dyDescent="0.25">
      <c r="J23" s="4" t="s">
        <v>57</v>
      </c>
      <c r="K23" s="5">
        <v>20000</v>
      </c>
    </row>
    <row r="24" spans="4:11" x14ac:dyDescent="0.25">
      <c r="J24" s="4" t="s">
        <v>32</v>
      </c>
      <c r="K24" s="5">
        <v>210000</v>
      </c>
    </row>
    <row r="25" spans="4:11" x14ac:dyDescent="0.25">
      <c r="J25" s="4" t="s">
        <v>30</v>
      </c>
      <c r="K25" s="5">
        <v>60000</v>
      </c>
    </row>
    <row r="26" spans="4:11" x14ac:dyDescent="0.25">
      <c r="J26" s="4" t="s">
        <v>352</v>
      </c>
      <c r="K26" s="5">
        <v>1557500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1"/>
  <sheetViews>
    <sheetView workbookViewId="0">
      <selection activeCell="K2" sqref="K2"/>
    </sheetView>
  </sheetViews>
  <sheetFormatPr defaultRowHeight="15" x14ac:dyDescent="0.25"/>
  <cols>
    <col min="1" max="1" width="10.5703125" customWidth="1"/>
    <col min="2" max="2" width="12.85546875" style="1" customWidth="1"/>
    <col min="3" max="3" width="17.42578125" customWidth="1"/>
    <col min="5" max="5" width="15.7109375" customWidth="1"/>
    <col min="6" max="6" width="11" customWidth="1"/>
    <col min="7" max="7" width="10.85546875" customWidth="1"/>
    <col min="9" max="9" width="12.5703125" customWidth="1"/>
    <col min="10" max="10" width="15" customWidth="1"/>
  </cols>
  <sheetData>
    <row r="1" spans="1:11" x14ac:dyDescent="0.25">
      <c r="A1" t="s">
        <v>0</v>
      </c>
      <c r="B1" s="1" t="s">
        <v>1</v>
      </c>
      <c r="C1" t="s">
        <v>2</v>
      </c>
      <c r="D1" t="s">
        <v>3</v>
      </c>
      <c r="E1" t="s">
        <v>4</v>
      </c>
      <c r="F1" t="s">
        <v>5</v>
      </c>
      <c r="G1" t="s">
        <v>6</v>
      </c>
      <c r="H1" t="s">
        <v>7</v>
      </c>
      <c r="I1" t="s">
        <v>8</v>
      </c>
      <c r="J1" t="s">
        <v>350</v>
      </c>
      <c r="K1" t="s">
        <v>349</v>
      </c>
    </row>
    <row r="2" spans="1:11" x14ac:dyDescent="0.25">
      <c r="A2">
        <v>1001</v>
      </c>
      <c r="B2" s="1" t="s">
        <v>9</v>
      </c>
      <c r="C2" t="s">
        <v>10</v>
      </c>
      <c r="D2" t="s">
        <v>11</v>
      </c>
      <c r="E2" t="s">
        <v>12</v>
      </c>
      <c r="F2" t="s">
        <v>13</v>
      </c>
      <c r="G2">
        <v>3</v>
      </c>
      <c r="H2">
        <v>800</v>
      </c>
      <c r="I2">
        <v>2400</v>
      </c>
      <c r="J2" s="2">
        <f t="shared" ref="J2:J65" si="0">DATE(RIGHT(B2,4), MID(B2,4,2), LEFT(B2,2))</f>
        <v>45353</v>
      </c>
      <c r="K2" t="str">
        <f>TEXT(Table1[[#This Row],[Order_Date]],"mmm")</f>
        <v>Mar</v>
      </c>
    </row>
    <row r="3" spans="1:11" x14ac:dyDescent="0.25">
      <c r="A3">
        <v>1002</v>
      </c>
      <c r="B3" s="1" t="s">
        <v>14</v>
      </c>
      <c r="C3" t="s">
        <v>15</v>
      </c>
      <c r="D3" t="s">
        <v>16</v>
      </c>
      <c r="E3" t="s">
        <v>17</v>
      </c>
      <c r="F3" t="s">
        <v>13</v>
      </c>
      <c r="G3">
        <v>2</v>
      </c>
      <c r="H3">
        <v>3000</v>
      </c>
      <c r="I3">
        <v>6000</v>
      </c>
      <c r="J3" s="2">
        <f t="shared" si="0"/>
        <v>45574</v>
      </c>
      <c r="K3" t="str">
        <f>TEXT(Table1[[#This Row],[Order_Date]],"mmm")</f>
        <v>Oct</v>
      </c>
    </row>
    <row r="4" spans="1:11" x14ac:dyDescent="0.25">
      <c r="A4">
        <v>1003</v>
      </c>
      <c r="B4" s="1" t="s">
        <v>18</v>
      </c>
      <c r="C4" t="s">
        <v>19</v>
      </c>
      <c r="D4" t="s">
        <v>20</v>
      </c>
      <c r="E4" t="s">
        <v>21</v>
      </c>
      <c r="F4" t="s">
        <v>22</v>
      </c>
      <c r="G4">
        <v>2</v>
      </c>
      <c r="H4">
        <v>50000</v>
      </c>
      <c r="I4">
        <v>100000</v>
      </c>
      <c r="J4" s="2">
        <f t="shared" si="0"/>
        <v>45567</v>
      </c>
      <c r="K4" t="str">
        <f>TEXT(Table1[[#This Row],[Order_Date]],"mmm")</f>
        <v>Oct</v>
      </c>
    </row>
    <row r="5" spans="1:11" x14ac:dyDescent="0.25">
      <c r="A5">
        <v>1004</v>
      </c>
      <c r="B5" s="1" t="s">
        <v>23</v>
      </c>
      <c r="C5" t="s">
        <v>24</v>
      </c>
      <c r="D5" t="s">
        <v>25</v>
      </c>
      <c r="E5" t="s">
        <v>26</v>
      </c>
      <c r="F5" t="s">
        <v>22</v>
      </c>
      <c r="G5">
        <v>1</v>
      </c>
      <c r="H5">
        <v>2500</v>
      </c>
      <c r="I5">
        <v>2500</v>
      </c>
      <c r="J5" s="2">
        <f t="shared" si="0"/>
        <v>45563</v>
      </c>
      <c r="K5" t="str">
        <f>TEXT(Table1[[#This Row],[Order_Date]],"mmm")</f>
        <v>Sep</v>
      </c>
    </row>
    <row r="6" spans="1:11" x14ac:dyDescent="0.25">
      <c r="A6">
        <v>1005</v>
      </c>
      <c r="B6" s="1" t="s">
        <v>27</v>
      </c>
      <c r="C6" t="s">
        <v>28</v>
      </c>
      <c r="D6" t="s">
        <v>25</v>
      </c>
      <c r="E6" t="s">
        <v>21</v>
      </c>
      <c r="F6" t="s">
        <v>22</v>
      </c>
      <c r="G6">
        <v>2</v>
      </c>
      <c r="H6">
        <v>50000</v>
      </c>
      <c r="I6">
        <v>100000</v>
      </c>
      <c r="J6" s="2">
        <f t="shared" si="0"/>
        <v>45465</v>
      </c>
      <c r="K6" t="str">
        <f>TEXT(Table1[[#This Row],[Order_Date]],"mmm")</f>
        <v>Jun</v>
      </c>
    </row>
    <row r="7" spans="1:11" x14ac:dyDescent="0.25">
      <c r="A7">
        <v>1006</v>
      </c>
      <c r="B7" s="1" t="s">
        <v>29</v>
      </c>
      <c r="C7" t="s">
        <v>30</v>
      </c>
      <c r="D7" t="s">
        <v>11</v>
      </c>
      <c r="E7" t="s">
        <v>17</v>
      </c>
      <c r="F7" t="s">
        <v>13</v>
      </c>
      <c r="G7">
        <v>1</v>
      </c>
      <c r="H7">
        <v>3000</v>
      </c>
      <c r="I7">
        <v>3000</v>
      </c>
      <c r="J7" s="2">
        <f t="shared" si="0"/>
        <v>45519</v>
      </c>
      <c r="K7" t="str">
        <f>TEXT(Table1[[#This Row],[Order_Date]],"mmm")</f>
        <v>Aug</v>
      </c>
    </row>
    <row r="8" spans="1:11" x14ac:dyDescent="0.25">
      <c r="A8">
        <v>1007</v>
      </c>
      <c r="B8" s="1" t="s">
        <v>31</v>
      </c>
      <c r="C8" t="s">
        <v>32</v>
      </c>
      <c r="D8" t="s">
        <v>33</v>
      </c>
      <c r="E8" t="s">
        <v>21</v>
      </c>
      <c r="F8" t="s">
        <v>22</v>
      </c>
      <c r="G8">
        <v>5</v>
      </c>
      <c r="H8">
        <v>50000</v>
      </c>
      <c r="I8">
        <v>250000</v>
      </c>
      <c r="J8" s="2">
        <f t="shared" si="0"/>
        <v>45486</v>
      </c>
      <c r="K8" t="str">
        <f>TEXT(Table1[[#This Row],[Order_Date]],"mmm")</f>
        <v>Jul</v>
      </c>
    </row>
    <row r="9" spans="1:11" x14ac:dyDescent="0.25">
      <c r="A9">
        <v>1008</v>
      </c>
      <c r="B9" s="1" t="s">
        <v>34</v>
      </c>
      <c r="C9" t="s">
        <v>30</v>
      </c>
      <c r="D9" t="s">
        <v>16</v>
      </c>
      <c r="E9" t="s">
        <v>35</v>
      </c>
      <c r="F9" t="s">
        <v>22</v>
      </c>
      <c r="G9">
        <v>3</v>
      </c>
      <c r="H9">
        <v>20000</v>
      </c>
      <c r="I9">
        <v>60000</v>
      </c>
      <c r="J9" s="2">
        <f t="shared" si="0"/>
        <v>45355</v>
      </c>
      <c r="K9" t="str">
        <f>TEXT(Table1[[#This Row],[Order_Date]],"mmm")</f>
        <v>Mar</v>
      </c>
    </row>
    <row r="10" spans="1:11" x14ac:dyDescent="0.25">
      <c r="A10">
        <v>1009</v>
      </c>
      <c r="B10" s="1" t="s">
        <v>36</v>
      </c>
      <c r="C10" t="s">
        <v>30</v>
      </c>
      <c r="D10" t="s">
        <v>25</v>
      </c>
      <c r="E10" t="s">
        <v>17</v>
      </c>
      <c r="F10" t="s">
        <v>13</v>
      </c>
      <c r="G10">
        <v>4</v>
      </c>
      <c r="H10">
        <v>3000</v>
      </c>
      <c r="I10">
        <v>12000</v>
      </c>
      <c r="J10" s="2">
        <f t="shared" si="0"/>
        <v>45627</v>
      </c>
      <c r="K10" t="str">
        <f>TEXT(Table1[[#This Row],[Order_Date]],"mmm")</f>
        <v>Dec</v>
      </c>
    </row>
    <row r="11" spans="1:11" x14ac:dyDescent="0.25">
      <c r="A11">
        <v>1010</v>
      </c>
      <c r="B11" s="1" t="s">
        <v>37</v>
      </c>
      <c r="C11" t="s">
        <v>38</v>
      </c>
      <c r="D11" t="s">
        <v>39</v>
      </c>
      <c r="E11" t="s">
        <v>21</v>
      </c>
      <c r="F11" t="s">
        <v>22</v>
      </c>
      <c r="G11">
        <v>1</v>
      </c>
      <c r="H11">
        <v>50000</v>
      </c>
      <c r="I11">
        <v>50000</v>
      </c>
      <c r="J11" s="2">
        <f t="shared" si="0"/>
        <v>45408</v>
      </c>
      <c r="K11" t="str">
        <f>TEXT(Table1[[#This Row],[Order_Date]],"mmm")</f>
        <v>Apr</v>
      </c>
    </row>
    <row r="12" spans="1:11" x14ac:dyDescent="0.25">
      <c r="A12">
        <v>1011</v>
      </c>
      <c r="B12" s="1" t="s">
        <v>40</v>
      </c>
      <c r="C12" t="s">
        <v>30</v>
      </c>
      <c r="D12" t="s">
        <v>20</v>
      </c>
      <c r="E12" t="s">
        <v>26</v>
      </c>
      <c r="F12" t="s">
        <v>22</v>
      </c>
      <c r="G12">
        <v>2</v>
      </c>
      <c r="H12">
        <v>2500</v>
      </c>
      <c r="I12">
        <v>5000</v>
      </c>
      <c r="J12" s="2">
        <f t="shared" si="0"/>
        <v>45583</v>
      </c>
      <c r="K12" t="str">
        <f>TEXT(Table1[[#This Row],[Order_Date]],"mmm")</f>
        <v>Oct</v>
      </c>
    </row>
    <row r="13" spans="1:11" x14ac:dyDescent="0.25">
      <c r="A13">
        <v>1012</v>
      </c>
      <c r="B13" s="1" t="s">
        <v>41</v>
      </c>
      <c r="C13" t="s">
        <v>42</v>
      </c>
      <c r="D13" t="s">
        <v>11</v>
      </c>
      <c r="E13" t="s">
        <v>26</v>
      </c>
      <c r="F13" t="s">
        <v>22</v>
      </c>
      <c r="G13">
        <v>3</v>
      </c>
      <c r="H13">
        <v>2500</v>
      </c>
      <c r="I13">
        <v>7500</v>
      </c>
      <c r="J13" s="2">
        <f t="shared" si="0"/>
        <v>45425</v>
      </c>
      <c r="K13" t="str">
        <f>TEXT(Table1[[#This Row],[Order_Date]],"mmm")</f>
        <v>May</v>
      </c>
    </row>
    <row r="14" spans="1:11" x14ac:dyDescent="0.25">
      <c r="A14">
        <v>1013</v>
      </c>
      <c r="B14" s="1" t="s">
        <v>37</v>
      </c>
      <c r="C14" t="s">
        <v>15</v>
      </c>
      <c r="D14" t="s">
        <v>11</v>
      </c>
      <c r="E14" t="s">
        <v>43</v>
      </c>
      <c r="F14" t="s">
        <v>44</v>
      </c>
      <c r="G14">
        <v>4</v>
      </c>
      <c r="H14">
        <v>1500</v>
      </c>
      <c r="I14">
        <v>6000</v>
      </c>
      <c r="J14" s="2">
        <f t="shared" si="0"/>
        <v>45408</v>
      </c>
      <c r="K14" t="str">
        <f>TEXT(Table1[[#This Row],[Order_Date]],"mmm")</f>
        <v>Apr</v>
      </c>
    </row>
    <row r="15" spans="1:11" x14ac:dyDescent="0.25">
      <c r="A15">
        <v>1014</v>
      </c>
      <c r="B15" s="1" t="s">
        <v>45</v>
      </c>
      <c r="C15" t="s">
        <v>10</v>
      </c>
      <c r="D15" t="s">
        <v>39</v>
      </c>
      <c r="E15" t="s">
        <v>12</v>
      </c>
      <c r="F15" t="s">
        <v>13</v>
      </c>
      <c r="G15">
        <v>4</v>
      </c>
      <c r="H15">
        <v>800</v>
      </c>
      <c r="I15">
        <v>3200</v>
      </c>
      <c r="J15" s="2">
        <f t="shared" si="0"/>
        <v>45571</v>
      </c>
      <c r="K15" t="str">
        <f>TEXT(Table1[[#This Row],[Order_Date]],"mmm")</f>
        <v>Oct</v>
      </c>
    </row>
    <row r="16" spans="1:11" x14ac:dyDescent="0.25">
      <c r="A16">
        <v>1015</v>
      </c>
      <c r="B16" s="1" t="s">
        <v>46</v>
      </c>
      <c r="C16" t="s">
        <v>19</v>
      </c>
      <c r="D16" t="s">
        <v>47</v>
      </c>
      <c r="E16" t="s">
        <v>48</v>
      </c>
      <c r="F16" t="s">
        <v>44</v>
      </c>
      <c r="G16">
        <v>5</v>
      </c>
      <c r="H16">
        <v>5000</v>
      </c>
      <c r="I16">
        <v>25000</v>
      </c>
      <c r="J16" s="2">
        <f t="shared" si="0"/>
        <v>45602</v>
      </c>
      <c r="K16" t="str">
        <f>TEXT(Table1[[#This Row],[Order_Date]],"mmm")</f>
        <v>Nov</v>
      </c>
    </row>
    <row r="17" spans="1:11" x14ac:dyDescent="0.25">
      <c r="A17">
        <v>1016</v>
      </c>
      <c r="B17" s="1" t="s">
        <v>49</v>
      </c>
      <c r="C17" t="s">
        <v>50</v>
      </c>
      <c r="D17" t="s">
        <v>16</v>
      </c>
      <c r="E17" t="s">
        <v>51</v>
      </c>
      <c r="F17" t="s">
        <v>13</v>
      </c>
      <c r="G17">
        <v>3</v>
      </c>
      <c r="H17">
        <v>2000</v>
      </c>
      <c r="I17">
        <v>6000</v>
      </c>
      <c r="J17" s="2">
        <f t="shared" si="0"/>
        <v>45505</v>
      </c>
      <c r="K17" t="str">
        <f>TEXT(Table1[[#This Row],[Order_Date]],"mmm")</f>
        <v>Aug</v>
      </c>
    </row>
    <row r="18" spans="1:11" x14ac:dyDescent="0.25">
      <c r="A18">
        <v>1017</v>
      </c>
      <c r="B18" s="1" t="s">
        <v>52</v>
      </c>
      <c r="C18" t="s">
        <v>53</v>
      </c>
      <c r="D18" t="s">
        <v>25</v>
      </c>
      <c r="E18" t="s">
        <v>48</v>
      </c>
      <c r="F18" t="s">
        <v>44</v>
      </c>
      <c r="G18">
        <v>1</v>
      </c>
      <c r="H18">
        <v>5000</v>
      </c>
      <c r="I18">
        <v>5000</v>
      </c>
      <c r="J18" s="2">
        <f t="shared" si="0"/>
        <v>45394</v>
      </c>
      <c r="K18" t="str">
        <f>TEXT(Table1[[#This Row],[Order_Date]],"mmm")</f>
        <v>Apr</v>
      </c>
    </row>
    <row r="19" spans="1:11" x14ac:dyDescent="0.25">
      <c r="A19">
        <v>1018</v>
      </c>
      <c r="B19" s="1" t="s">
        <v>54</v>
      </c>
      <c r="C19" t="s">
        <v>10</v>
      </c>
      <c r="D19" t="s">
        <v>33</v>
      </c>
      <c r="E19" t="s">
        <v>48</v>
      </c>
      <c r="F19" t="s">
        <v>44</v>
      </c>
      <c r="G19">
        <v>4</v>
      </c>
      <c r="H19">
        <v>5000</v>
      </c>
      <c r="I19">
        <v>20000</v>
      </c>
      <c r="J19" s="2">
        <f t="shared" si="0"/>
        <v>45356</v>
      </c>
      <c r="K19" t="str">
        <f>TEXT(Table1[[#This Row],[Order_Date]],"mmm")</f>
        <v>Mar</v>
      </c>
    </row>
    <row r="20" spans="1:11" x14ac:dyDescent="0.25">
      <c r="A20">
        <v>1019</v>
      </c>
      <c r="B20" s="1" t="s">
        <v>55</v>
      </c>
      <c r="C20" t="s">
        <v>53</v>
      </c>
      <c r="D20" t="s">
        <v>11</v>
      </c>
      <c r="E20" t="s">
        <v>48</v>
      </c>
      <c r="F20" t="s">
        <v>44</v>
      </c>
      <c r="G20">
        <v>4</v>
      </c>
      <c r="H20">
        <v>5000</v>
      </c>
      <c r="I20">
        <v>20000</v>
      </c>
      <c r="J20" s="2">
        <f t="shared" si="0"/>
        <v>45334</v>
      </c>
      <c r="K20" t="str">
        <f>TEXT(Table1[[#This Row],[Order_Date]],"mmm")</f>
        <v>Feb</v>
      </c>
    </row>
    <row r="21" spans="1:11" x14ac:dyDescent="0.25">
      <c r="A21">
        <v>1020</v>
      </c>
      <c r="B21" s="1" t="s">
        <v>56</v>
      </c>
      <c r="C21" t="s">
        <v>57</v>
      </c>
      <c r="D21" t="s">
        <v>33</v>
      </c>
      <c r="E21" t="s">
        <v>26</v>
      </c>
      <c r="F21" t="s">
        <v>22</v>
      </c>
      <c r="G21">
        <v>5</v>
      </c>
      <c r="H21">
        <v>2500</v>
      </c>
      <c r="I21">
        <v>12500</v>
      </c>
      <c r="J21" s="2">
        <f t="shared" si="0"/>
        <v>45336</v>
      </c>
      <c r="K21" t="str">
        <f>TEXT(Table1[[#This Row],[Order_Date]],"mmm")</f>
        <v>Feb</v>
      </c>
    </row>
    <row r="22" spans="1:11" x14ac:dyDescent="0.25">
      <c r="A22">
        <v>1021</v>
      </c>
      <c r="B22" s="1" t="s">
        <v>58</v>
      </c>
      <c r="C22" t="s">
        <v>30</v>
      </c>
      <c r="D22" t="s">
        <v>39</v>
      </c>
      <c r="E22" t="s">
        <v>21</v>
      </c>
      <c r="F22" t="s">
        <v>22</v>
      </c>
      <c r="G22">
        <v>4</v>
      </c>
      <c r="H22">
        <v>50000</v>
      </c>
      <c r="I22">
        <v>200000</v>
      </c>
      <c r="J22" s="2">
        <f t="shared" si="0"/>
        <v>45407</v>
      </c>
      <c r="K22" t="str">
        <f>TEXT(Table1[[#This Row],[Order_Date]],"mmm")</f>
        <v>Apr</v>
      </c>
    </row>
    <row r="23" spans="1:11" x14ac:dyDescent="0.25">
      <c r="A23">
        <v>1022</v>
      </c>
      <c r="B23" s="1" t="s">
        <v>59</v>
      </c>
      <c r="C23" t="s">
        <v>57</v>
      </c>
      <c r="D23" t="s">
        <v>25</v>
      </c>
      <c r="E23" t="s">
        <v>43</v>
      </c>
      <c r="F23" t="s">
        <v>44</v>
      </c>
      <c r="G23">
        <v>4</v>
      </c>
      <c r="H23">
        <v>1500</v>
      </c>
      <c r="I23">
        <v>6000</v>
      </c>
      <c r="J23" s="2">
        <f t="shared" si="0"/>
        <v>45651</v>
      </c>
      <c r="K23" t="str">
        <f>TEXT(Table1[[#This Row],[Order_Date]],"mmm")</f>
        <v>Dec</v>
      </c>
    </row>
    <row r="24" spans="1:11" x14ac:dyDescent="0.25">
      <c r="A24">
        <v>1023</v>
      </c>
      <c r="B24" s="1" t="s">
        <v>60</v>
      </c>
      <c r="C24" t="s">
        <v>30</v>
      </c>
      <c r="D24" t="s">
        <v>25</v>
      </c>
      <c r="E24" t="s">
        <v>17</v>
      </c>
      <c r="F24" t="s">
        <v>13</v>
      </c>
      <c r="G24">
        <v>4</v>
      </c>
      <c r="H24">
        <v>3000</v>
      </c>
      <c r="I24">
        <v>12000</v>
      </c>
      <c r="J24" s="2">
        <f t="shared" si="0"/>
        <v>45580</v>
      </c>
      <c r="K24" t="str">
        <f>TEXT(Table1[[#This Row],[Order_Date]],"mmm")</f>
        <v>Oct</v>
      </c>
    </row>
    <row r="25" spans="1:11" x14ac:dyDescent="0.25">
      <c r="A25">
        <v>1024</v>
      </c>
      <c r="B25" s="1" t="s">
        <v>61</v>
      </c>
      <c r="C25" t="s">
        <v>30</v>
      </c>
      <c r="D25" t="s">
        <v>47</v>
      </c>
      <c r="E25" t="s">
        <v>51</v>
      </c>
      <c r="F25" t="s">
        <v>13</v>
      </c>
      <c r="G25">
        <v>1</v>
      </c>
      <c r="H25">
        <v>2000</v>
      </c>
      <c r="I25">
        <v>2000</v>
      </c>
      <c r="J25" s="2">
        <f t="shared" si="0"/>
        <v>45472</v>
      </c>
      <c r="K25" t="str">
        <f>TEXT(Table1[[#This Row],[Order_Date]],"mmm")</f>
        <v>Jun</v>
      </c>
    </row>
    <row r="26" spans="1:11" x14ac:dyDescent="0.25">
      <c r="A26">
        <v>1025</v>
      </c>
      <c r="B26" s="1" t="s">
        <v>62</v>
      </c>
      <c r="C26" t="s">
        <v>53</v>
      </c>
      <c r="D26" t="s">
        <v>33</v>
      </c>
      <c r="E26" t="s">
        <v>35</v>
      </c>
      <c r="F26" t="s">
        <v>22</v>
      </c>
      <c r="G26">
        <v>4</v>
      </c>
      <c r="H26">
        <v>20000</v>
      </c>
      <c r="I26">
        <v>80000</v>
      </c>
      <c r="J26" s="2">
        <f t="shared" si="0"/>
        <v>45321</v>
      </c>
      <c r="K26" t="str">
        <f>TEXT(Table1[[#This Row],[Order_Date]],"mmm")</f>
        <v>Jan</v>
      </c>
    </row>
    <row r="27" spans="1:11" x14ac:dyDescent="0.25">
      <c r="A27">
        <v>1026</v>
      </c>
      <c r="B27" s="1" t="s">
        <v>63</v>
      </c>
      <c r="C27" t="s">
        <v>28</v>
      </c>
      <c r="D27" t="s">
        <v>16</v>
      </c>
      <c r="E27" t="s">
        <v>17</v>
      </c>
      <c r="F27" t="s">
        <v>13</v>
      </c>
      <c r="G27">
        <v>2</v>
      </c>
      <c r="H27">
        <v>3000</v>
      </c>
      <c r="I27">
        <v>6000</v>
      </c>
      <c r="J27" s="2">
        <f t="shared" si="0"/>
        <v>45459</v>
      </c>
      <c r="K27" t="str">
        <f>TEXT(Table1[[#This Row],[Order_Date]],"mmm")</f>
        <v>Jun</v>
      </c>
    </row>
    <row r="28" spans="1:11" x14ac:dyDescent="0.25">
      <c r="A28">
        <v>1027</v>
      </c>
      <c r="B28" s="1" t="s">
        <v>64</v>
      </c>
      <c r="C28" t="s">
        <v>57</v>
      </c>
      <c r="D28" t="s">
        <v>47</v>
      </c>
      <c r="E28" t="s">
        <v>43</v>
      </c>
      <c r="F28" t="s">
        <v>44</v>
      </c>
      <c r="G28">
        <v>3</v>
      </c>
      <c r="H28">
        <v>1500</v>
      </c>
      <c r="I28">
        <v>4500</v>
      </c>
      <c r="J28" s="2">
        <f t="shared" si="0"/>
        <v>45537</v>
      </c>
      <c r="K28" t="str">
        <f>TEXT(Table1[[#This Row],[Order_Date]],"mmm")</f>
        <v>Sep</v>
      </c>
    </row>
    <row r="29" spans="1:11" x14ac:dyDescent="0.25">
      <c r="A29">
        <v>1028</v>
      </c>
      <c r="B29" s="1" t="s">
        <v>65</v>
      </c>
      <c r="C29" t="s">
        <v>50</v>
      </c>
      <c r="D29" t="s">
        <v>33</v>
      </c>
      <c r="E29" t="s">
        <v>35</v>
      </c>
      <c r="F29" t="s">
        <v>22</v>
      </c>
      <c r="G29">
        <v>1</v>
      </c>
      <c r="H29">
        <v>20000</v>
      </c>
      <c r="I29">
        <v>20000</v>
      </c>
      <c r="J29" s="2">
        <f t="shared" si="0"/>
        <v>45529</v>
      </c>
      <c r="K29" t="str">
        <f>TEXT(Table1[[#This Row],[Order_Date]],"mmm")</f>
        <v>Aug</v>
      </c>
    </row>
    <row r="30" spans="1:11" x14ac:dyDescent="0.25">
      <c r="A30">
        <v>1029</v>
      </c>
      <c r="B30" s="1" t="s">
        <v>66</v>
      </c>
      <c r="C30" t="s">
        <v>24</v>
      </c>
      <c r="D30" t="s">
        <v>11</v>
      </c>
      <c r="E30" t="s">
        <v>35</v>
      </c>
      <c r="F30" t="s">
        <v>22</v>
      </c>
      <c r="G30">
        <v>3</v>
      </c>
      <c r="H30">
        <v>20000</v>
      </c>
      <c r="I30">
        <v>60000</v>
      </c>
      <c r="J30" s="2">
        <f t="shared" si="0"/>
        <v>45568</v>
      </c>
      <c r="K30" t="str">
        <f>TEXT(Table1[[#This Row],[Order_Date]],"mmm")</f>
        <v>Oct</v>
      </c>
    </row>
    <row r="31" spans="1:11" x14ac:dyDescent="0.25">
      <c r="A31">
        <v>1030</v>
      </c>
      <c r="B31" s="1" t="s">
        <v>67</v>
      </c>
      <c r="C31" t="s">
        <v>28</v>
      </c>
      <c r="D31" t="s">
        <v>39</v>
      </c>
      <c r="E31" t="s">
        <v>17</v>
      </c>
      <c r="F31" t="s">
        <v>13</v>
      </c>
      <c r="G31">
        <v>1</v>
      </c>
      <c r="H31">
        <v>3000</v>
      </c>
      <c r="I31">
        <v>3000</v>
      </c>
      <c r="J31" s="2">
        <f t="shared" si="0"/>
        <v>45550</v>
      </c>
      <c r="K31" t="str">
        <f>TEXT(Table1[[#This Row],[Order_Date]],"mmm")</f>
        <v>Sep</v>
      </c>
    </row>
    <row r="32" spans="1:11" x14ac:dyDescent="0.25">
      <c r="A32">
        <v>1031</v>
      </c>
      <c r="B32" s="1" t="s">
        <v>68</v>
      </c>
      <c r="C32" t="s">
        <v>19</v>
      </c>
      <c r="D32" t="s">
        <v>39</v>
      </c>
      <c r="E32" t="s">
        <v>12</v>
      </c>
      <c r="F32" t="s">
        <v>13</v>
      </c>
      <c r="G32">
        <v>2</v>
      </c>
      <c r="H32">
        <v>800</v>
      </c>
      <c r="I32">
        <v>1600</v>
      </c>
      <c r="J32" s="2">
        <f t="shared" si="0"/>
        <v>45332</v>
      </c>
      <c r="K32" t="str">
        <f>TEXT(Table1[[#This Row],[Order_Date]],"mmm")</f>
        <v>Feb</v>
      </c>
    </row>
    <row r="33" spans="1:11" x14ac:dyDescent="0.25">
      <c r="A33">
        <v>1032</v>
      </c>
      <c r="B33" s="1" t="s">
        <v>69</v>
      </c>
      <c r="C33" t="s">
        <v>57</v>
      </c>
      <c r="D33" t="s">
        <v>39</v>
      </c>
      <c r="E33" t="s">
        <v>35</v>
      </c>
      <c r="F33" t="s">
        <v>22</v>
      </c>
      <c r="G33">
        <v>2</v>
      </c>
      <c r="H33">
        <v>20000</v>
      </c>
      <c r="I33">
        <v>40000</v>
      </c>
      <c r="J33" s="2">
        <f t="shared" si="0"/>
        <v>45467</v>
      </c>
      <c r="K33" t="str">
        <f>TEXT(Table1[[#This Row],[Order_Date]],"mmm")</f>
        <v>Jun</v>
      </c>
    </row>
    <row r="34" spans="1:11" x14ac:dyDescent="0.25">
      <c r="A34">
        <v>1033</v>
      </c>
      <c r="B34" s="1" t="s">
        <v>70</v>
      </c>
      <c r="C34" t="s">
        <v>15</v>
      </c>
      <c r="D34" t="s">
        <v>16</v>
      </c>
      <c r="E34" t="s">
        <v>48</v>
      </c>
      <c r="F34" t="s">
        <v>44</v>
      </c>
      <c r="G34">
        <v>5</v>
      </c>
      <c r="H34">
        <v>5000</v>
      </c>
      <c r="I34">
        <v>25000</v>
      </c>
      <c r="J34" s="2">
        <f t="shared" si="0"/>
        <v>45538</v>
      </c>
      <c r="K34" t="str">
        <f>TEXT(Table1[[#This Row],[Order_Date]],"mmm")</f>
        <v>Sep</v>
      </c>
    </row>
    <row r="35" spans="1:11" x14ac:dyDescent="0.25">
      <c r="A35">
        <v>1034</v>
      </c>
      <c r="B35" s="1" t="s">
        <v>58</v>
      </c>
      <c r="C35" t="s">
        <v>57</v>
      </c>
      <c r="D35" t="s">
        <v>47</v>
      </c>
      <c r="E35" t="s">
        <v>12</v>
      </c>
      <c r="F35" t="s">
        <v>13</v>
      </c>
      <c r="G35">
        <v>2</v>
      </c>
      <c r="H35">
        <v>800</v>
      </c>
      <c r="I35">
        <v>1600</v>
      </c>
      <c r="J35" s="2">
        <f t="shared" si="0"/>
        <v>45407</v>
      </c>
      <c r="K35" t="str">
        <f>TEXT(Table1[[#This Row],[Order_Date]],"mmm")</f>
        <v>Apr</v>
      </c>
    </row>
    <row r="36" spans="1:11" x14ac:dyDescent="0.25">
      <c r="A36">
        <v>1035</v>
      </c>
      <c r="B36" s="1" t="s">
        <v>71</v>
      </c>
      <c r="C36" t="s">
        <v>19</v>
      </c>
      <c r="D36" t="s">
        <v>16</v>
      </c>
      <c r="E36" t="s">
        <v>26</v>
      </c>
      <c r="F36" t="s">
        <v>22</v>
      </c>
      <c r="G36">
        <v>1</v>
      </c>
      <c r="H36">
        <v>2500</v>
      </c>
      <c r="I36">
        <v>2500</v>
      </c>
      <c r="J36" s="2">
        <f t="shared" si="0"/>
        <v>45644</v>
      </c>
      <c r="K36" t="str">
        <f>TEXT(Table1[[#This Row],[Order_Date]],"mmm")</f>
        <v>Dec</v>
      </c>
    </row>
    <row r="37" spans="1:11" x14ac:dyDescent="0.25">
      <c r="A37">
        <v>1036</v>
      </c>
      <c r="B37" s="1" t="s">
        <v>72</v>
      </c>
      <c r="C37" t="s">
        <v>19</v>
      </c>
      <c r="D37" t="s">
        <v>16</v>
      </c>
      <c r="E37" t="s">
        <v>35</v>
      </c>
      <c r="F37" t="s">
        <v>22</v>
      </c>
      <c r="G37">
        <v>1</v>
      </c>
      <c r="H37">
        <v>20000</v>
      </c>
      <c r="I37">
        <v>20000</v>
      </c>
      <c r="J37" s="2">
        <f t="shared" si="0"/>
        <v>45411</v>
      </c>
      <c r="K37" t="str">
        <f>TEXT(Table1[[#This Row],[Order_Date]],"mmm")</f>
        <v>Apr</v>
      </c>
    </row>
    <row r="38" spans="1:11" x14ac:dyDescent="0.25">
      <c r="A38">
        <v>1037</v>
      </c>
      <c r="B38" s="1" t="s">
        <v>73</v>
      </c>
      <c r="C38" t="s">
        <v>19</v>
      </c>
      <c r="D38" t="s">
        <v>47</v>
      </c>
      <c r="E38" t="s">
        <v>17</v>
      </c>
      <c r="F38" t="s">
        <v>13</v>
      </c>
      <c r="G38">
        <v>5</v>
      </c>
      <c r="H38">
        <v>3000</v>
      </c>
      <c r="I38">
        <v>15000</v>
      </c>
      <c r="J38" s="2">
        <f t="shared" si="0"/>
        <v>45559</v>
      </c>
      <c r="K38" t="str">
        <f>TEXT(Table1[[#This Row],[Order_Date]],"mmm")</f>
        <v>Sep</v>
      </c>
    </row>
    <row r="39" spans="1:11" x14ac:dyDescent="0.25">
      <c r="A39">
        <v>1038</v>
      </c>
      <c r="B39" s="1" t="s">
        <v>74</v>
      </c>
      <c r="C39" t="s">
        <v>28</v>
      </c>
      <c r="D39" t="s">
        <v>25</v>
      </c>
      <c r="E39" t="s">
        <v>51</v>
      </c>
      <c r="F39" t="s">
        <v>13</v>
      </c>
      <c r="G39">
        <v>5</v>
      </c>
      <c r="H39">
        <v>2000</v>
      </c>
      <c r="I39">
        <v>10000</v>
      </c>
      <c r="J39" s="2">
        <f t="shared" si="0"/>
        <v>45608</v>
      </c>
      <c r="K39" t="str">
        <f>TEXT(Table1[[#This Row],[Order_Date]],"mmm")</f>
        <v>Nov</v>
      </c>
    </row>
    <row r="40" spans="1:11" x14ac:dyDescent="0.25">
      <c r="A40">
        <v>1039</v>
      </c>
      <c r="B40" s="1" t="s">
        <v>75</v>
      </c>
      <c r="C40" t="s">
        <v>57</v>
      </c>
      <c r="D40" t="s">
        <v>20</v>
      </c>
      <c r="E40" t="s">
        <v>21</v>
      </c>
      <c r="F40" t="s">
        <v>22</v>
      </c>
      <c r="G40">
        <v>4</v>
      </c>
      <c r="H40">
        <v>50000</v>
      </c>
      <c r="I40">
        <v>200000</v>
      </c>
      <c r="J40" s="2">
        <f t="shared" si="0"/>
        <v>45552</v>
      </c>
      <c r="K40" t="str">
        <f>TEXT(Table1[[#This Row],[Order_Date]],"mmm")</f>
        <v>Sep</v>
      </c>
    </row>
    <row r="41" spans="1:11" x14ac:dyDescent="0.25">
      <c r="A41">
        <v>1040</v>
      </c>
      <c r="B41" s="1" t="s">
        <v>76</v>
      </c>
      <c r="C41" t="s">
        <v>28</v>
      </c>
      <c r="D41" t="s">
        <v>20</v>
      </c>
      <c r="E41" t="s">
        <v>21</v>
      </c>
      <c r="F41" t="s">
        <v>22</v>
      </c>
      <c r="G41">
        <v>5</v>
      </c>
      <c r="H41">
        <v>50000</v>
      </c>
      <c r="I41">
        <v>250000</v>
      </c>
      <c r="J41" s="2">
        <f t="shared" si="0"/>
        <v>45313</v>
      </c>
      <c r="K41" t="str">
        <f>TEXT(Table1[[#This Row],[Order_Date]],"mmm")</f>
        <v>Jan</v>
      </c>
    </row>
    <row r="42" spans="1:11" x14ac:dyDescent="0.25">
      <c r="A42">
        <v>1041</v>
      </c>
      <c r="B42" s="1" t="s">
        <v>77</v>
      </c>
      <c r="C42" t="s">
        <v>28</v>
      </c>
      <c r="D42" t="s">
        <v>39</v>
      </c>
      <c r="E42" t="s">
        <v>26</v>
      </c>
      <c r="F42" t="s">
        <v>22</v>
      </c>
      <c r="G42">
        <v>1</v>
      </c>
      <c r="H42">
        <v>2500</v>
      </c>
      <c r="I42">
        <v>2500</v>
      </c>
      <c r="J42" s="2">
        <f t="shared" si="0"/>
        <v>45506</v>
      </c>
      <c r="K42" t="str">
        <f>TEXT(Table1[[#This Row],[Order_Date]],"mmm")</f>
        <v>Aug</v>
      </c>
    </row>
    <row r="43" spans="1:11" x14ac:dyDescent="0.25">
      <c r="A43">
        <v>1042</v>
      </c>
      <c r="B43" s="1" t="s">
        <v>78</v>
      </c>
      <c r="C43" t="s">
        <v>28</v>
      </c>
      <c r="D43" t="s">
        <v>11</v>
      </c>
      <c r="E43" t="s">
        <v>12</v>
      </c>
      <c r="F43" t="s">
        <v>13</v>
      </c>
      <c r="G43">
        <v>4</v>
      </c>
      <c r="H43">
        <v>800</v>
      </c>
      <c r="I43">
        <v>3200</v>
      </c>
      <c r="J43" s="2">
        <f t="shared" si="0"/>
        <v>45338</v>
      </c>
      <c r="K43" t="str">
        <f>TEXT(Table1[[#This Row],[Order_Date]],"mmm")</f>
        <v>Feb</v>
      </c>
    </row>
    <row r="44" spans="1:11" x14ac:dyDescent="0.25">
      <c r="A44">
        <v>1043</v>
      </c>
      <c r="B44" s="1" t="s">
        <v>79</v>
      </c>
      <c r="C44" t="s">
        <v>53</v>
      </c>
      <c r="D44" t="s">
        <v>47</v>
      </c>
      <c r="E44" t="s">
        <v>12</v>
      </c>
      <c r="F44" t="s">
        <v>13</v>
      </c>
      <c r="G44">
        <v>5</v>
      </c>
      <c r="H44">
        <v>800</v>
      </c>
      <c r="I44">
        <v>4000</v>
      </c>
      <c r="J44" s="2">
        <f t="shared" si="0"/>
        <v>45566</v>
      </c>
      <c r="K44" t="str">
        <f>TEXT(Table1[[#This Row],[Order_Date]],"mmm")</f>
        <v>Oct</v>
      </c>
    </row>
    <row r="45" spans="1:11" x14ac:dyDescent="0.25">
      <c r="A45">
        <v>1044</v>
      </c>
      <c r="B45" s="1" t="s">
        <v>80</v>
      </c>
      <c r="C45" t="s">
        <v>10</v>
      </c>
      <c r="D45" t="s">
        <v>11</v>
      </c>
      <c r="E45" t="s">
        <v>48</v>
      </c>
      <c r="F45" t="s">
        <v>44</v>
      </c>
      <c r="G45">
        <v>4</v>
      </c>
      <c r="H45">
        <v>5000</v>
      </c>
      <c r="I45">
        <v>20000</v>
      </c>
      <c r="J45" s="2">
        <f t="shared" si="0"/>
        <v>45628</v>
      </c>
      <c r="K45" t="str">
        <f>TEXT(Table1[[#This Row],[Order_Date]],"mmm")</f>
        <v>Dec</v>
      </c>
    </row>
    <row r="46" spans="1:11" x14ac:dyDescent="0.25">
      <c r="A46">
        <v>1045</v>
      </c>
      <c r="B46" s="1" t="s">
        <v>81</v>
      </c>
      <c r="C46" t="s">
        <v>32</v>
      </c>
      <c r="D46" t="s">
        <v>33</v>
      </c>
      <c r="E46" t="s">
        <v>21</v>
      </c>
      <c r="F46" t="s">
        <v>22</v>
      </c>
      <c r="G46">
        <v>1</v>
      </c>
      <c r="H46">
        <v>50000</v>
      </c>
      <c r="I46">
        <v>50000</v>
      </c>
      <c r="J46" s="2">
        <f t="shared" si="0"/>
        <v>45449</v>
      </c>
      <c r="K46" t="str">
        <f>TEXT(Table1[[#This Row],[Order_Date]],"mmm")</f>
        <v>Jun</v>
      </c>
    </row>
    <row r="47" spans="1:11" x14ac:dyDescent="0.25">
      <c r="A47">
        <v>1046</v>
      </c>
      <c r="B47" s="1" t="s">
        <v>82</v>
      </c>
      <c r="C47" t="s">
        <v>28</v>
      </c>
      <c r="D47" t="s">
        <v>16</v>
      </c>
      <c r="E47" t="s">
        <v>51</v>
      </c>
      <c r="F47" t="s">
        <v>13</v>
      </c>
      <c r="G47">
        <v>5</v>
      </c>
      <c r="H47">
        <v>2000</v>
      </c>
      <c r="I47">
        <v>10000</v>
      </c>
      <c r="J47" s="2">
        <f t="shared" si="0"/>
        <v>45514</v>
      </c>
      <c r="K47" t="str">
        <f>TEXT(Table1[[#This Row],[Order_Date]],"mmm")</f>
        <v>Aug</v>
      </c>
    </row>
    <row r="48" spans="1:11" x14ac:dyDescent="0.25">
      <c r="A48">
        <v>1047</v>
      </c>
      <c r="B48" s="1" t="s">
        <v>83</v>
      </c>
      <c r="C48" t="s">
        <v>50</v>
      </c>
      <c r="D48" t="s">
        <v>47</v>
      </c>
      <c r="E48" t="s">
        <v>17</v>
      </c>
      <c r="F48" t="s">
        <v>13</v>
      </c>
      <c r="G48">
        <v>4</v>
      </c>
      <c r="H48">
        <v>3000</v>
      </c>
      <c r="I48">
        <v>12000</v>
      </c>
      <c r="J48" s="2">
        <f t="shared" si="0"/>
        <v>45601</v>
      </c>
      <c r="K48" t="str">
        <f>TEXT(Table1[[#This Row],[Order_Date]],"mmm")</f>
        <v>Nov</v>
      </c>
    </row>
    <row r="49" spans="1:11" x14ac:dyDescent="0.25">
      <c r="A49">
        <v>1048</v>
      </c>
      <c r="B49" s="1" t="s">
        <v>84</v>
      </c>
      <c r="C49" t="s">
        <v>24</v>
      </c>
      <c r="D49" t="s">
        <v>20</v>
      </c>
      <c r="E49" t="s">
        <v>12</v>
      </c>
      <c r="F49" t="s">
        <v>13</v>
      </c>
      <c r="G49">
        <v>5</v>
      </c>
      <c r="H49">
        <v>800</v>
      </c>
      <c r="I49">
        <v>4000</v>
      </c>
      <c r="J49" s="2">
        <f t="shared" si="0"/>
        <v>45621</v>
      </c>
      <c r="K49" t="str">
        <f>TEXT(Table1[[#This Row],[Order_Date]],"mmm")</f>
        <v>Nov</v>
      </c>
    </row>
    <row r="50" spans="1:11" x14ac:dyDescent="0.25">
      <c r="A50">
        <v>1049</v>
      </c>
      <c r="B50" s="1" t="s">
        <v>85</v>
      </c>
      <c r="C50" t="s">
        <v>38</v>
      </c>
      <c r="D50" t="s">
        <v>16</v>
      </c>
      <c r="E50" t="s">
        <v>43</v>
      </c>
      <c r="F50" t="s">
        <v>44</v>
      </c>
      <c r="G50">
        <v>3</v>
      </c>
      <c r="H50">
        <v>1500</v>
      </c>
      <c r="I50">
        <v>4500</v>
      </c>
      <c r="J50" s="2">
        <f t="shared" si="0"/>
        <v>45600</v>
      </c>
      <c r="K50" t="str">
        <f>TEXT(Table1[[#This Row],[Order_Date]],"mmm")</f>
        <v>Nov</v>
      </c>
    </row>
    <row r="51" spans="1:11" x14ac:dyDescent="0.25">
      <c r="A51">
        <v>1050</v>
      </c>
      <c r="B51" s="1" t="s">
        <v>86</v>
      </c>
      <c r="C51" t="s">
        <v>19</v>
      </c>
      <c r="D51" t="s">
        <v>16</v>
      </c>
      <c r="E51" t="s">
        <v>12</v>
      </c>
      <c r="F51" t="s">
        <v>13</v>
      </c>
      <c r="G51">
        <v>2</v>
      </c>
      <c r="H51">
        <v>800</v>
      </c>
      <c r="I51">
        <v>1600</v>
      </c>
      <c r="J51" s="2">
        <f t="shared" si="0"/>
        <v>45579</v>
      </c>
      <c r="K51" t="str">
        <f>TEXT(Table1[[#This Row],[Order_Date]],"mmm")</f>
        <v>Oct</v>
      </c>
    </row>
    <row r="52" spans="1:11" x14ac:dyDescent="0.25">
      <c r="A52">
        <v>1051</v>
      </c>
      <c r="B52" s="1" t="s">
        <v>87</v>
      </c>
      <c r="C52" t="s">
        <v>28</v>
      </c>
      <c r="D52" t="s">
        <v>39</v>
      </c>
      <c r="E52" t="s">
        <v>35</v>
      </c>
      <c r="F52" t="s">
        <v>22</v>
      </c>
      <c r="G52">
        <v>1</v>
      </c>
      <c r="H52">
        <v>20000</v>
      </c>
      <c r="I52">
        <v>20000</v>
      </c>
      <c r="J52" s="2">
        <f t="shared" si="0"/>
        <v>45352</v>
      </c>
      <c r="K52" t="str">
        <f>TEXT(Table1[[#This Row],[Order_Date]],"mmm")</f>
        <v>Mar</v>
      </c>
    </row>
    <row r="53" spans="1:11" x14ac:dyDescent="0.25">
      <c r="A53">
        <v>1052</v>
      </c>
      <c r="B53" s="1" t="s">
        <v>88</v>
      </c>
      <c r="C53" t="s">
        <v>53</v>
      </c>
      <c r="D53" t="s">
        <v>33</v>
      </c>
      <c r="E53" t="s">
        <v>51</v>
      </c>
      <c r="F53" t="s">
        <v>13</v>
      </c>
      <c r="G53">
        <v>4</v>
      </c>
      <c r="H53">
        <v>2000</v>
      </c>
      <c r="I53">
        <v>8000</v>
      </c>
      <c r="J53" s="2">
        <f t="shared" si="0"/>
        <v>45647</v>
      </c>
      <c r="K53" t="str">
        <f>TEXT(Table1[[#This Row],[Order_Date]],"mmm")</f>
        <v>Dec</v>
      </c>
    </row>
    <row r="54" spans="1:11" x14ac:dyDescent="0.25">
      <c r="A54">
        <v>1053</v>
      </c>
      <c r="B54" s="1" t="s">
        <v>89</v>
      </c>
      <c r="C54" t="s">
        <v>57</v>
      </c>
      <c r="D54" t="s">
        <v>11</v>
      </c>
      <c r="E54" t="s">
        <v>12</v>
      </c>
      <c r="F54" t="s">
        <v>13</v>
      </c>
      <c r="G54">
        <v>1</v>
      </c>
      <c r="H54">
        <v>800</v>
      </c>
      <c r="I54">
        <v>800</v>
      </c>
      <c r="J54" s="2">
        <f t="shared" si="0"/>
        <v>45436</v>
      </c>
      <c r="K54" t="str">
        <f>TEXT(Table1[[#This Row],[Order_Date]],"mmm")</f>
        <v>May</v>
      </c>
    </row>
    <row r="55" spans="1:11" x14ac:dyDescent="0.25">
      <c r="A55">
        <v>1054</v>
      </c>
      <c r="B55" s="1" t="s">
        <v>90</v>
      </c>
      <c r="C55" t="s">
        <v>28</v>
      </c>
      <c r="D55" t="s">
        <v>39</v>
      </c>
      <c r="E55" t="s">
        <v>35</v>
      </c>
      <c r="F55" t="s">
        <v>22</v>
      </c>
      <c r="G55">
        <v>4</v>
      </c>
      <c r="H55">
        <v>20000</v>
      </c>
      <c r="I55">
        <v>80000</v>
      </c>
      <c r="J55" s="2">
        <f t="shared" si="0"/>
        <v>45445</v>
      </c>
      <c r="K55" t="str">
        <f>TEXT(Table1[[#This Row],[Order_Date]],"mmm")</f>
        <v>Jun</v>
      </c>
    </row>
    <row r="56" spans="1:11" x14ac:dyDescent="0.25">
      <c r="A56">
        <v>1055</v>
      </c>
      <c r="B56" s="1" t="s">
        <v>91</v>
      </c>
      <c r="C56" t="s">
        <v>28</v>
      </c>
      <c r="D56" t="s">
        <v>25</v>
      </c>
      <c r="E56" t="s">
        <v>48</v>
      </c>
      <c r="F56" t="s">
        <v>44</v>
      </c>
      <c r="G56">
        <v>3</v>
      </c>
      <c r="H56">
        <v>5000</v>
      </c>
      <c r="I56">
        <v>15000</v>
      </c>
      <c r="J56" s="2">
        <f t="shared" si="0"/>
        <v>45309</v>
      </c>
      <c r="K56" t="str">
        <f>TEXT(Table1[[#This Row],[Order_Date]],"mmm")</f>
        <v>Jan</v>
      </c>
    </row>
    <row r="57" spans="1:11" x14ac:dyDescent="0.25">
      <c r="A57">
        <v>1056</v>
      </c>
      <c r="B57" s="1" t="s">
        <v>92</v>
      </c>
      <c r="C57" t="s">
        <v>57</v>
      </c>
      <c r="D57" t="s">
        <v>11</v>
      </c>
      <c r="E57" t="s">
        <v>21</v>
      </c>
      <c r="F57" t="s">
        <v>22</v>
      </c>
      <c r="G57">
        <v>5</v>
      </c>
      <c r="H57">
        <v>50000</v>
      </c>
      <c r="I57">
        <v>250000</v>
      </c>
      <c r="J57" s="2">
        <f t="shared" si="0"/>
        <v>45405</v>
      </c>
      <c r="K57" t="str">
        <f>TEXT(Table1[[#This Row],[Order_Date]],"mmm")</f>
        <v>Apr</v>
      </c>
    </row>
    <row r="58" spans="1:11" x14ac:dyDescent="0.25">
      <c r="A58">
        <v>1057</v>
      </c>
      <c r="B58" s="1" t="s">
        <v>93</v>
      </c>
      <c r="C58" t="s">
        <v>30</v>
      </c>
      <c r="D58" t="s">
        <v>16</v>
      </c>
      <c r="E58" t="s">
        <v>17</v>
      </c>
      <c r="F58" t="s">
        <v>13</v>
      </c>
      <c r="G58">
        <v>2</v>
      </c>
      <c r="H58">
        <v>3000</v>
      </c>
      <c r="I58">
        <v>6000</v>
      </c>
      <c r="J58" s="2">
        <f t="shared" si="0"/>
        <v>45404</v>
      </c>
      <c r="K58" t="str">
        <f>TEXT(Table1[[#This Row],[Order_Date]],"mmm")</f>
        <v>Apr</v>
      </c>
    </row>
    <row r="59" spans="1:11" x14ac:dyDescent="0.25">
      <c r="A59">
        <v>1058</v>
      </c>
      <c r="B59" s="1" t="s">
        <v>94</v>
      </c>
      <c r="C59" t="s">
        <v>24</v>
      </c>
      <c r="D59" t="s">
        <v>33</v>
      </c>
      <c r="E59" t="s">
        <v>48</v>
      </c>
      <c r="F59" t="s">
        <v>44</v>
      </c>
      <c r="G59">
        <v>4</v>
      </c>
      <c r="H59">
        <v>5000</v>
      </c>
      <c r="I59">
        <v>20000</v>
      </c>
      <c r="J59" s="2">
        <f t="shared" si="0"/>
        <v>45553</v>
      </c>
      <c r="K59" t="str">
        <f>TEXT(Table1[[#This Row],[Order_Date]],"mmm")</f>
        <v>Sep</v>
      </c>
    </row>
    <row r="60" spans="1:11" x14ac:dyDescent="0.25">
      <c r="A60">
        <v>1059</v>
      </c>
      <c r="B60" s="1" t="s">
        <v>14</v>
      </c>
      <c r="C60" t="s">
        <v>19</v>
      </c>
      <c r="D60" t="s">
        <v>11</v>
      </c>
      <c r="E60" t="s">
        <v>51</v>
      </c>
      <c r="F60" t="s">
        <v>13</v>
      </c>
      <c r="G60">
        <v>3</v>
      </c>
      <c r="H60">
        <v>2000</v>
      </c>
      <c r="I60">
        <v>6000</v>
      </c>
      <c r="J60" s="2">
        <f t="shared" si="0"/>
        <v>45574</v>
      </c>
      <c r="K60" t="str">
        <f>TEXT(Table1[[#This Row],[Order_Date]],"mmm")</f>
        <v>Oct</v>
      </c>
    </row>
    <row r="61" spans="1:11" x14ac:dyDescent="0.25">
      <c r="A61">
        <v>1060</v>
      </c>
      <c r="B61" s="1" t="s">
        <v>95</v>
      </c>
      <c r="C61" t="s">
        <v>42</v>
      </c>
      <c r="D61" t="s">
        <v>33</v>
      </c>
      <c r="E61" t="s">
        <v>51</v>
      </c>
      <c r="F61" t="s">
        <v>13</v>
      </c>
      <c r="G61">
        <v>5</v>
      </c>
      <c r="H61">
        <v>2000</v>
      </c>
      <c r="I61">
        <v>10000</v>
      </c>
      <c r="J61" s="2">
        <f t="shared" si="0"/>
        <v>45545</v>
      </c>
      <c r="K61" t="str">
        <f>TEXT(Table1[[#This Row],[Order_Date]],"mmm")</f>
        <v>Sep</v>
      </c>
    </row>
    <row r="62" spans="1:11" x14ac:dyDescent="0.25">
      <c r="A62">
        <v>1061</v>
      </c>
      <c r="B62" s="1" t="s">
        <v>45</v>
      </c>
      <c r="C62" t="s">
        <v>28</v>
      </c>
      <c r="D62" t="s">
        <v>16</v>
      </c>
      <c r="E62" t="s">
        <v>51</v>
      </c>
      <c r="F62" t="s">
        <v>13</v>
      </c>
      <c r="G62">
        <v>3</v>
      </c>
      <c r="H62">
        <v>2000</v>
      </c>
      <c r="I62">
        <v>6000</v>
      </c>
      <c r="J62" s="2">
        <f t="shared" si="0"/>
        <v>45571</v>
      </c>
      <c r="K62" t="str">
        <f>TEXT(Table1[[#This Row],[Order_Date]],"mmm")</f>
        <v>Oct</v>
      </c>
    </row>
    <row r="63" spans="1:11" x14ac:dyDescent="0.25">
      <c r="A63">
        <v>1062</v>
      </c>
      <c r="B63" s="1" t="s">
        <v>96</v>
      </c>
      <c r="C63" t="s">
        <v>19</v>
      </c>
      <c r="D63" t="s">
        <v>39</v>
      </c>
      <c r="E63" t="s">
        <v>26</v>
      </c>
      <c r="F63" t="s">
        <v>22</v>
      </c>
      <c r="G63">
        <v>3</v>
      </c>
      <c r="H63">
        <v>2500</v>
      </c>
      <c r="I63">
        <v>7500</v>
      </c>
      <c r="J63" s="2">
        <f t="shared" si="0"/>
        <v>45648</v>
      </c>
      <c r="K63" t="str">
        <f>TEXT(Table1[[#This Row],[Order_Date]],"mmm")</f>
        <v>Dec</v>
      </c>
    </row>
    <row r="64" spans="1:11" x14ac:dyDescent="0.25">
      <c r="A64">
        <v>1063</v>
      </c>
      <c r="B64" s="1" t="s">
        <v>97</v>
      </c>
      <c r="C64" t="s">
        <v>32</v>
      </c>
      <c r="D64" t="s">
        <v>16</v>
      </c>
      <c r="E64" t="s">
        <v>35</v>
      </c>
      <c r="F64" t="s">
        <v>22</v>
      </c>
      <c r="G64">
        <v>5</v>
      </c>
      <c r="H64">
        <v>20000</v>
      </c>
      <c r="I64">
        <v>100000</v>
      </c>
      <c r="J64" s="2">
        <f t="shared" si="0"/>
        <v>45311</v>
      </c>
      <c r="K64" t="str">
        <f>TEXT(Table1[[#This Row],[Order_Date]],"mmm")</f>
        <v>Jan</v>
      </c>
    </row>
    <row r="65" spans="1:11" x14ac:dyDescent="0.25">
      <c r="A65">
        <v>1064</v>
      </c>
      <c r="B65" s="1" t="s">
        <v>98</v>
      </c>
      <c r="C65" t="s">
        <v>19</v>
      </c>
      <c r="D65" t="s">
        <v>33</v>
      </c>
      <c r="E65" t="s">
        <v>35</v>
      </c>
      <c r="F65" t="s">
        <v>22</v>
      </c>
      <c r="G65">
        <v>1</v>
      </c>
      <c r="H65">
        <v>20000</v>
      </c>
      <c r="I65">
        <v>20000</v>
      </c>
      <c r="J65" s="2">
        <f t="shared" si="0"/>
        <v>45451</v>
      </c>
      <c r="K65" t="str">
        <f>TEXT(Table1[[#This Row],[Order_Date]],"mmm")</f>
        <v>Jun</v>
      </c>
    </row>
    <row r="66" spans="1:11" x14ac:dyDescent="0.25">
      <c r="A66">
        <v>1065</v>
      </c>
      <c r="B66" s="1" t="s">
        <v>99</v>
      </c>
      <c r="C66" t="s">
        <v>30</v>
      </c>
      <c r="D66" t="s">
        <v>25</v>
      </c>
      <c r="E66" t="s">
        <v>17</v>
      </c>
      <c r="F66" t="s">
        <v>13</v>
      </c>
      <c r="G66">
        <v>1</v>
      </c>
      <c r="H66">
        <v>3000</v>
      </c>
      <c r="I66">
        <v>3000</v>
      </c>
      <c r="J66" s="2">
        <f t="shared" ref="J66:J129" si="1">DATE(RIGHT(B66,4), MID(B66,4,2), LEFT(B66,2))</f>
        <v>45323</v>
      </c>
      <c r="K66" t="str">
        <f>TEXT(Table1[[#This Row],[Order_Date]],"mmm")</f>
        <v>Feb</v>
      </c>
    </row>
    <row r="67" spans="1:11" x14ac:dyDescent="0.25">
      <c r="A67">
        <v>1066</v>
      </c>
      <c r="B67" s="1" t="s">
        <v>100</v>
      </c>
      <c r="C67" t="s">
        <v>38</v>
      </c>
      <c r="D67" t="s">
        <v>47</v>
      </c>
      <c r="E67" t="s">
        <v>43</v>
      </c>
      <c r="F67" t="s">
        <v>44</v>
      </c>
      <c r="G67">
        <v>5</v>
      </c>
      <c r="H67">
        <v>1500</v>
      </c>
      <c r="I67">
        <v>7500</v>
      </c>
      <c r="J67" s="2">
        <f t="shared" si="1"/>
        <v>45395</v>
      </c>
      <c r="K67" t="str">
        <f>TEXT(Table1[[#This Row],[Order_Date]],"mmm")</f>
        <v>Apr</v>
      </c>
    </row>
    <row r="68" spans="1:11" x14ac:dyDescent="0.25">
      <c r="A68">
        <v>1067</v>
      </c>
      <c r="B68" s="1" t="s">
        <v>101</v>
      </c>
      <c r="C68" t="s">
        <v>28</v>
      </c>
      <c r="D68" t="s">
        <v>33</v>
      </c>
      <c r="E68" t="s">
        <v>21</v>
      </c>
      <c r="F68" t="s">
        <v>22</v>
      </c>
      <c r="G68">
        <v>4</v>
      </c>
      <c r="H68">
        <v>50000</v>
      </c>
      <c r="I68">
        <v>200000</v>
      </c>
      <c r="J68" s="2">
        <f t="shared" si="1"/>
        <v>45564</v>
      </c>
      <c r="K68" t="str">
        <f>TEXT(Table1[[#This Row],[Order_Date]],"mmm")</f>
        <v>Sep</v>
      </c>
    </row>
    <row r="69" spans="1:11" x14ac:dyDescent="0.25">
      <c r="A69">
        <v>1068</v>
      </c>
      <c r="B69" s="1" t="s">
        <v>102</v>
      </c>
      <c r="C69" t="s">
        <v>24</v>
      </c>
      <c r="D69" t="s">
        <v>16</v>
      </c>
      <c r="E69" t="s">
        <v>51</v>
      </c>
      <c r="F69" t="s">
        <v>13</v>
      </c>
      <c r="G69">
        <v>4</v>
      </c>
      <c r="H69">
        <v>2000</v>
      </c>
      <c r="I69">
        <v>8000</v>
      </c>
      <c r="J69" s="2">
        <f t="shared" si="1"/>
        <v>45656</v>
      </c>
      <c r="K69" t="str">
        <f>TEXT(Table1[[#This Row],[Order_Date]],"mmm")</f>
        <v>Dec</v>
      </c>
    </row>
    <row r="70" spans="1:11" x14ac:dyDescent="0.25">
      <c r="A70">
        <v>1069</v>
      </c>
      <c r="B70" s="1" t="s">
        <v>103</v>
      </c>
      <c r="C70" t="s">
        <v>53</v>
      </c>
      <c r="D70" t="s">
        <v>39</v>
      </c>
      <c r="E70" t="s">
        <v>21</v>
      </c>
      <c r="F70" t="s">
        <v>22</v>
      </c>
      <c r="G70">
        <v>3</v>
      </c>
      <c r="H70">
        <v>50000</v>
      </c>
      <c r="I70">
        <v>150000</v>
      </c>
      <c r="J70" s="2">
        <f t="shared" si="1"/>
        <v>45631</v>
      </c>
      <c r="K70" t="str">
        <f>TEXT(Table1[[#This Row],[Order_Date]],"mmm")</f>
        <v>Dec</v>
      </c>
    </row>
    <row r="71" spans="1:11" x14ac:dyDescent="0.25">
      <c r="A71">
        <v>1070</v>
      </c>
      <c r="B71" s="1" t="s">
        <v>104</v>
      </c>
      <c r="C71" t="s">
        <v>10</v>
      </c>
      <c r="D71" t="s">
        <v>39</v>
      </c>
      <c r="E71" t="s">
        <v>26</v>
      </c>
      <c r="F71" t="s">
        <v>22</v>
      </c>
      <c r="G71">
        <v>5</v>
      </c>
      <c r="H71">
        <v>2500</v>
      </c>
      <c r="I71">
        <v>12500</v>
      </c>
      <c r="J71" s="2">
        <f t="shared" si="1"/>
        <v>45540</v>
      </c>
      <c r="K71" t="str">
        <f>TEXT(Table1[[#This Row],[Order_Date]],"mmm")</f>
        <v>Sep</v>
      </c>
    </row>
    <row r="72" spans="1:11" x14ac:dyDescent="0.25">
      <c r="A72">
        <v>1071</v>
      </c>
      <c r="B72" s="1" t="s">
        <v>105</v>
      </c>
      <c r="C72" t="s">
        <v>50</v>
      </c>
      <c r="D72" t="s">
        <v>20</v>
      </c>
      <c r="E72" t="s">
        <v>43</v>
      </c>
      <c r="F72" t="s">
        <v>44</v>
      </c>
      <c r="G72">
        <v>4</v>
      </c>
      <c r="H72">
        <v>1500</v>
      </c>
      <c r="I72">
        <v>6000</v>
      </c>
      <c r="J72" s="2">
        <f t="shared" si="1"/>
        <v>45461</v>
      </c>
      <c r="K72" t="str">
        <f>TEXT(Table1[[#This Row],[Order_Date]],"mmm")</f>
        <v>Jun</v>
      </c>
    </row>
    <row r="73" spans="1:11" x14ac:dyDescent="0.25">
      <c r="A73">
        <v>1072</v>
      </c>
      <c r="B73" s="1" t="s">
        <v>54</v>
      </c>
      <c r="C73" t="s">
        <v>50</v>
      </c>
      <c r="D73" t="s">
        <v>20</v>
      </c>
      <c r="E73" t="s">
        <v>43</v>
      </c>
      <c r="F73" t="s">
        <v>44</v>
      </c>
      <c r="G73">
        <v>4</v>
      </c>
      <c r="H73">
        <v>1500</v>
      </c>
      <c r="I73">
        <v>6000</v>
      </c>
      <c r="J73" s="2">
        <f t="shared" si="1"/>
        <v>45356</v>
      </c>
      <c r="K73" t="str">
        <f>TEXT(Table1[[#This Row],[Order_Date]],"mmm")</f>
        <v>Mar</v>
      </c>
    </row>
    <row r="74" spans="1:11" x14ac:dyDescent="0.25">
      <c r="A74">
        <v>1073</v>
      </c>
      <c r="B74" s="1" t="s">
        <v>106</v>
      </c>
      <c r="C74" t="s">
        <v>19</v>
      </c>
      <c r="D74" t="s">
        <v>11</v>
      </c>
      <c r="E74" t="s">
        <v>51</v>
      </c>
      <c r="F74" t="s">
        <v>13</v>
      </c>
      <c r="G74">
        <v>4</v>
      </c>
      <c r="H74">
        <v>2000</v>
      </c>
      <c r="I74">
        <v>8000</v>
      </c>
      <c r="J74" s="2">
        <f t="shared" si="1"/>
        <v>45326</v>
      </c>
      <c r="K74" t="str">
        <f>TEXT(Table1[[#This Row],[Order_Date]],"mmm")</f>
        <v>Feb</v>
      </c>
    </row>
    <row r="75" spans="1:11" x14ac:dyDescent="0.25">
      <c r="A75">
        <v>1074</v>
      </c>
      <c r="B75" s="1" t="s">
        <v>62</v>
      </c>
      <c r="C75" t="s">
        <v>10</v>
      </c>
      <c r="D75" t="s">
        <v>47</v>
      </c>
      <c r="E75" t="s">
        <v>43</v>
      </c>
      <c r="F75" t="s">
        <v>44</v>
      </c>
      <c r="G75">
        <v>2</v>
      </c>
      <c r="H75">
        <v>1500</v>
      </c>
      <c r="I75">
        <v>3000</v>
      </c>
      <c r="J75" s="2">
        <f t="shared" si="1"/>
        <v>45321</v>
      </c>
      <c r="K75" t="str">
        <f>TEXT(Table1[[#This Row],[Order_Date]],"mmm")</f>
        <v>Jan</v>
      </c>
    </row>
    <row r="76" spans="1:11" x14ac:dyDescent="0.25">
      <c r="A76">
        <v>1075</v>
      </c>
      <c r="B76" s="1" t="s">
        <v>107</v>
      </c>
      <c r="C76" t="s">
        <v>38</v>
      </c>
      <c r="D76" t="s">
        <v>11</v>
      </c>
      <c r="E76" t="s">
        <v>35</v>
      </c>
      <c r="F76" t="s">
        <v>22</v>
      </c>
      <c r="G76">
        <v>1</v>
      </c>
      <c r="H76">
        <v>20000</v>
      </c>
      <c r="I76">
        <v>20000</v>
      </c>
      <c r="J76" s="2">
        <f t="shared" si="1"/>
        <v>45539</v>
      </c>
      <c r="K76" t="str">
        <f>TEXT(Table1[[#This Row],[Order_Date]],"mmm")</f>
        <v>Sep</v>
      </c>
    </row>
    <row r="77" spans="1:11" x14ac:dyDescent="0.25">
      <c r="A77">
        <v>1076</v>
      </c>
      <c r="B77" s="1" t="s">
        <v>34</v>
      </c>
      <c r="C77" t="s">
        <v>15</v>
      </c>
      <c r="D77" t="s">
        <v>33</v>
      </c>
      <c r="E77" t="s">
        <v>26</v>
      </c>
      <c r="F77" t="s">
        <v>22</v>
      </c>
      <c r="G77">
        <v>3</v>
      </c>
      <c r="H77">
        <v>2500</v>
      </c>
      <c r="I77">
        <v>7500</v>
      </c>
      <c r="J77" s="2">
        <f t="shared" si="1"/>
        <v>45355</v>
      </c>
      <c r="K77" t="str">
        <f>TEXT(Table1[[#This Row],[Order_Date]],"mmm")</f>
        <v>Mar</v>
      </c>
    </row>
    <row r="78" spans="1:11" x14ac:dyDescent="0.25">
      <c r="A78">
        <v>1077</v>
      </c>
      <c r="B78" s="1" t="s">
        <v>108</v>
      </c>
      <c r="C78" t="s">
        <v>42</v>
      </c>
      <c r="D78" t="s">
        <v>20</v>
      </c>
      <c r="E78" t="s">
        <v>26</v>
      </c>
      <c r="F78" t="s">
        <v>22</v>
      </c>
      <c r="G78">
        <v>1</v>
      </c>
      <c r="H78">
        <v>2500</v>
      </c>
      <c r="I78">
        <v>2500</v>
      </c>
      <c r="J78" s="2">
        <f t="shared" si="1"/>
        <v>45443</v>
      </c>
      <c r="K78" t="str">
        <f>TEXT(Table1[[#This Row],[Order_Date]],"mmm")</f>
        <v>May</v>
      </c>
    </row>
    <row r="79" spans="1:11" x14ac:dyDescent="0.25">
      <c r="A79">
        <v>1078</v>
      </c>
      <c r="B79" s="1" t="s">
        <v>109</v>
      </c>
      <c r="C79" t="s">
        <v>30</v>
      </c>
      <c r="D79" t="s">
        <v>39</v>
      </c>
      <c r="E79" t="s">
        <v>26</v>
      </c>
      <c r="F79" t="s">
        <v>22</v>
      </c>
      <c r="G79">
        <v>1</v>
      </c>
      <c r="H79">
        <v>2500</v>
      </c>
      <c r="I79">
        <v>2500</v>
      </c>
      <c r="J79" s="2">
        <f t="shared" si="1"/>
        <v>45330</v>
      </c>
      <c r="K79" t="str">
        <f>TEXT(Table1[[#This Row],[Order_Date]],"mmm")</f>
        <v>Feb</v>
      </c>
    </row>
    <row r="80" spans="1:11" x14ac:dyDescent="0.25">
      <c r="A80">
        <v>1079</v>
      </c>
      <c r="B80" s="1" t="s">
        <v>110</v>
      </c>
      <c r="C80" t="s">
        <v>42</v>
      </c>
      <c r="D80" t="s">
        <v>39</v>
      </c>
      <c r="E80" t="s">
        <v>51</v>
      </c>
      <c r="F80" t="s">
        <v>13</v>
      </c>
      <c r="G80">
        <v>3</v>
      </c>
      <c r="H80">
        <v>2000</v>
      </c>
      <c r="I80">
        <v>6000</v>
      </c>
      <c r="J80" s="2">
        <f t="shared" si="1"/>
        <v>45453</v>
      </c>
      <c r="K80" t="str">
        <f>TEXT(Table1[[#This Row],[Order_Date]],"mmm")</f>
        <v>Jun</v>
      </c>
    </row>
    <row r="81" spans="1:11" x14ac:dyDescent="0.25">
      <c r="A81">
        <v>1080</v>
      </c>
      <c r="B81" s="1" t="s">
        <v>111</v>
      </c>
      <c r="C81" t="s">
        <v>28</v>
      </c>
      <c r="D81" t="s">
        <v>39</v>
      </c>
      <c r="E81" t="s">
        <v>17</v>
      </c>
      <c r="F81" t="s">
        <v>13</v>
      </c>
      <c r="G81">
        <v>2</v>
      </c>
      <c r="H81">
        <v>3000</v>
      </c>
      <c r="I81">
        <v>6000</v>
      </c>
      <c r="J81" s="2">
        <f t="shared" si="1"/>
        <v>45297</v>
      </c>
      <c r="K81" t="str">
        <f>TEXT(Table1[[#This Row],[Order_Date]],"mmm")</f>
        <v>Jan</v>
      </c>
    </row>
    <row r="82" spans="1:11" x14ac:dyDescent="0.25">
      <c r="A82">
        <v>1081</v>
      </c>
      <c r="B82" s="1" t="s">
        <v>83</v>
      </c>
      <c r="C82" t="s">
        <v>50</v>
      </c>
      <c r="D82" t="s">
        <v>39</v>
      </c>
      <c r="E82" t="s">
        <v>51</v>
      </c>
      <c r="F82" t="s">
        <v>13</v>
      </c>
      <c r="G82">
        <v>5</v>
      </c>
      <c r="H82">
        <v>2000</v>
      </c>
      <c r="I82">
        <v>10000</v>
      </c>
      <c r="J82" s="2">
        <f t="shared" si="1"/>
        <v>45601</v>
      </c>
      <c r="K82" t="str">
        <f>TEXT(Table1[[#This Row],[Order_Date]],"mmm")</f>
        <v>Nov</v>
      </c>
    </row>
    <row r="83" spans="1:11" x14ac:dyDescent="0.25">
      <c r="A83">
        <v>1082</v>
      </c>
      <c r="B83" s="1" t="s">
        <v>112</v>
      </c>
      <c r="C83" t="s">
        <v>57</v>
      </c>
      <c r="D83" t="s">
        <v>47</v>
      </c>
      <c r="E83" t="s">
        <v>21</v>
      </c>
      <c r="F83" t="s">
        <v>22</v>
      </c>
      <c r="G83">
        <v>1</v>
      </c>
      <c r="H83">
        <v>50000</v>
      </c>
      <c r="I83">
        <v>50000</v>
      </c>
      <c r="J83" s="2">
        <f t="shared" si="1"/>
        <v>45393</v>
      </c>
      <c r="K83" t="str">
        <f>TEXT(Table1[[#This Row],[Order_Date]],"mmm")</f>
        <v>Apr</v>
      </c>
    </row>
    <row r="84" spans="1:11" x14ac:dyDescent="0.25">
      <c r="A84">
        <v>1083</v>
      </c>
      <c r="B84" s="1" t="s">
        <v>113</v>
      </c>
      <c r="C84" t="s">
        <v>28</v>
      </c>
      <c r="D84" t="s">
        <v>33</v>
      </c>
      <c r="E84" t="s">
        <v>35</v>
      </c>
      <c r="F84" t="s">
        <v>22</v>
      </c>
      <c r="G84">
        <v>5</v>
      </c>
      <c r="H84">
        <v>20000</v>
      </c>
      <c r="I84">
        <v>100000</v>
      </c>
      <c r="J84" s="2">
        <f t="shared" si="1"/>
        <v>45575</v>
      </c>
      <c r="K84" t="str">
        <f>TEXT(Table1[[#This Row],[Order_Date]],"mmm")</f>
        <v>Oct</v>
      </c>
    </row>
    <row r="85" spans="1:11" x14ac:dyDescent="0.25">
      <c r="A85">
        <v>1084</v>
      </c>
      <c r="B85" s="1" t="s">
        <v>114</v>
      </c>
      <c r="C85" t="s">
        <v>38</v>
      </c>
      <c r="D85" t="s">
        <v>33</v>
      </c>
      <c r="E85" t="s">
        <v>43</v>
      </c>
      <c r="F85" t="s">
        <v>44</v>
      </c>
      <c r="G85">
        <v>5</v>
      </c>
      <c r="H85">
        <v>1500</v>
      </c>
      <c r="I85">
        <v>7500</v>
      </c>
      <c r="J85" s="2">
        <f t="shared" si="1"/>
        <v>45525</v>
      </c>
      <c r="K85" t="str">
        <f>TEXT(Table1[[#This Row],[Order_Date]],"mmm")</f>
        <v>Aug</v>
      </c>
    </row>
    <row r="86" spans="1:11" x14ac:dyDescent="0.25">
      <c r="A86">
        <v>1085</v>
      </c>
      <c r="B86" s="1" t="s">
        <v>115</v>
      </c>
      <c r="C86" t="s">
        <v>32</v>
      </c>
      <c r="D86" t="s">
        <v>20</v>
      </c>
      <c r="E86" t="s">
        <v>26</v>
      </c>
      <c r="F86" t="s">
        <v>22</v>
      </c>
      <c r="G86">
        <v>5</v>
      </c>
      <c r="H86">
        <v>2500</v>
      </c>
      <c r="I86">
        <v>12500</v>
      </c>
      <c r="J86" s="2">
        <f t="shared" si="1"/>
        <v>45605</v>
      </c>
      <c r="K86" t="str">
        <f>TEXT(Table1[[#This Row],[Order_Date]],"mmm")</f>
        <v>Nov</v>
      </c>
    </row>
    <row r="87" spans="1:11" x14ac:dyDescent="0.25">
      <c r="A87">
        <v>1086</v>
      </c>
      <c r="B87" s="1" t="s">
        <v>116</v>
      </c>
      <c r="C87" t="s">
        <v>32</v>
      </c>
      <c r="D87" t="s">
        <v>25</v>
      </c>
      <c r="E87" t="s">
        <v>35</v>
      </c>
      <c r="F87" t="s">
        <v>22</v>
      </c>
      <c r="G87">
        <v>1</v>
      </c>
      <c r="H87">
        <v>20000</v>
      </c>
      <c r="I87">
        <v>20000</v>
      </c>
      <c r="J87" s="2">
        <f t="shared" si="1"/>
        <v>45377</v>
      </c>
      <c r="K87" t="str">
        <f>TEXT(Table1[[#This Row],[Order_Date]],"mmm")</f>
        <v>Mar</v>
      </c>
    </row>
    <row r="88" spans="1:11" x14ac:dyDescent="0.25">
      <c r="A88">
        <v>1087</v>
      </c>
      <c r="B88" s="1" t="s">
        <v>117</v>
      </c>
      <c r="C88" t="s">
        <v>42</v>
      </c>
      <c r="D88" t="s">
        <v>20</v>
      </c>
      <c r="E88" t="s">
        <v>26</v>
      </c>
      <c r="F88" t="s">
        <v>22</v>
      </c>
      <c r="G88">
        <v>2</v>
      </c>
      <c r="H88">
        <v>2500</v>
      </c>
      <c r="I88">
        <v>5000</v>
      </c>
      <c r="J88" s="2">
        <f t="shared" si="1"/>
        <v>45339</v>
      </c>
      <c r="K88" t="str">
        <f>TEXT(Table1[[#This Row],[Order_Date]],"mmm")</f>
        <v>Feb</v>
      </c>
    </row>
    <row r="89" spans="1:11" x14ac:dyDescent="0.25">
      <c r="A89">
        <v>1088</v>
      </c>
      <c r="B89" s="1" t="s">
        <v>118</v>
      </c>
      <c r="C89" t="s">
        <v>50</v>
      </c>
      <c r="D89" t="s">
        <v>11</v>
      </c>
      <c r="E89" t="s">
        <v>17</v>
      </c>
      <c r="F89" t="s">
        <v>13</v>
      </c>
      <c r="G89">
        <v>5</v>
      </c>
      <c r="H89">
        <v>3000</v>
      </c>
      <c r="I89">
        <v>15000</v>
      </c>
      <c r="J89" s="2">
        <f t="shared" si="1"/>
        <v>45383</v>
      </c>
      <c r="K89" t="str">
        <f>TEXT(Table1[[#This Row],[Order_Date]],"mmm")</f>
        <v>Apr</v>
      </c>
    </row>
    <row r="90" spans="1:11" x14ac:dyDescent="0.25">
      <c r="A90">
        <v>1089</v>
      </c>
      <c r="B90" s="1" t="s">
        <v>119</v>
      </c>
      <c r="C90" t="s">
        <v>15</v>
      </c>
      <c r="D90" t="s">
        <v>33</v>
      </c>
      <c r="E90" t="s">
        <v>51</v>
      </c>
      <c r="F90" t="s">
        <v>13</v>
      </c>
      <c r="G90">
        <v>3</v>
      </c>
      <c r="H90">
        <v>2000</v>
      </c>
      <c r="I90">
        <v>6000</v>
      </c>
      <c r="J90" s="2">
        <f t="shared" si="1"/>
        <v>45620</v>
      </c>
      <c r="K90" t="str">
        <f>TEXT(Table1[[#This Row],[Order_Date]],"mmm")</f>
        <v>Nov</v>
      </c>
    </row>
    <row r="91" spans="1:11" x14ac:dyDescent="0.25">
      <c r="A91">
        <v>1090</v>
      </c>
      <c r="B91" s="1" t="s">
        <v>120</v>
      </c>
      <c r="C91" t="s">
        <v>24</v>
      </c>
      <c r="D91" t="s">
        <v>20</v>
      </c>
      <c r="E91" t="s">
        <v>48</v>
      </c>
      <c r="F91" t="s">
        <v>44</v>
      </c>
      <c r="G91">
        <v>4</v>
      </c>
      <c r="H91">
        <v>5000</v>
      </c>
      <c r="I91">
        <v>20000</v>
      </c>
      <c r="J91" s="2">
        <f t="shared" si="1"/>
        <v>45369</v>
      </c>
      <c r="K91" t="str">
        <f>TEXT(Table1[[#This Row],[Order_Date]],"mmm")</f>
        <v>Mar</v>
      </c>
    </row>
    <row r="92" spans="1:11" x14ac:dyDescent="0.25">
      <c r="A92">
        <v>1091</v>
      </c>
      <c r="B92" s="1" t="s">
        <v>121</v>
      </c>
      <c r="C92" t="s">
        <v>50</v>
      </c>
      <c r="D92" t="s">
        <v>47</v>
      </c>
      <c r="E92" t="s">
        <v>51</v>
      </c>
      <c r="F92" t="s">
        <v>13</v>
      </c>
      <c r="G92">
        <v>2</v>
      </c>
      <c r="H92">
        <v>2000</v>
      </c>
      <c r="I92">
        <v>4000</v>
      </c>
      <c r="J92" s="2">
        <f t="shared" si="1"/>
        <v>45499</v>
      </c>
      <c r="K92" t="str">
        <f>TEXT(Table1[[#This Row],[Order_Date]],"mmm")</f>
        <v>Jul</v>
      </c>
    </row>
    <row r="93" spans="1:11" x14ac:dyDescent="0.25">
      <c r="A93">
        <v>1092</v>
      </c>
      <c r="B93" s="1" t="s">
        <v>122</v>
      </c>
      <c r="C93" t="s">
        <v>38</v>
      </c>
      <c r="D93" t="s">
        <v>20</v>
      </c>
      <c r="E93" t="s">
        <v>43</v>
      </c>
      <c r="F93" t="s">
        <v>44</v>
      </c>
      <c r="G93">
        <v>3</v>
      </c>
      <c r="H93">
        <v>1500</v>
      </c>
      <c r="I93">
        <v>4500</v>
      </c>
      <c r="J93" s="2">
        <f t="shared" si="1"/>
        <v>45498</v>
      </c>
      <c r="K93" t="str">
        <f>TEXT(Table1[[#This Row],[Order_Date]],"mmm")</f>
        <v>Jul</v>
      </c>
    </row>
    <row r="94" spans="1:11" x14ac:dyDescent="0.25">
      <c r="A94">
        <v>1093</v>
      </c>
      <c r="B94" s="1" t="s">
        <v>123</v>
      </c>
      <c r="C94" t="s">
        <v>28</v>
      </c>
      <c r="D94" t="s">
        <v>39</v>
      </c>
      <c r="E94" t="s">
        <v>51</v>
      </c>
      <c r="F94" t="s">
        <v>13</v>
      </c>
      <c r="G94">
        <v>3</v>
      </c>
      <c r="H94">
        <v>2000</v>
      </c>
      <c r="I94">
        <v>6000</v>
      </c>
      <c r="J94" s="2">
        <f t="shared" si="1"/>
        <v>45534</v>
      </c>
      <c r="K94" t="str">
        <f>TEXT(Table1[[#This Row],[Order_Date]],"mmm")</f>
        <v>Aug</v>
      </c>
    </row>
    <row r="95" spans="1:11" x14ac:dyDescent="0.25">
      <c r="A95">
        <v>1094</v>
      </c>
      <c r="B95" s="1" t="s">
        <v>124</v>
      </c>
      <c r="C95" t="s">
        <v>10</v>
      </c>
      <c r="D95" t="s">
        <v>25</v>
      </c>
      <c r="E95" t="s">
        <v>21</v>
      </c>
      <c r="F95" t="s">
        <v>22</v>
      </c>
      <c r="G95">
        <v>5</v>
      </c>
      <c r="H95">
        <v>50000</v>
      </c>
      <c r="I95">
        <v>250000</v>
      </c>
      <c r="J95" s="2">
        <f t="shared" si="1"/>
        <v>45302</v>
      </c>
      <c r="K95" t="str">
        <f>TEXT(Table1[[#This Row],[Order_Date]],"mmm")</f>
        <v>Jan</v>
      </c>
    </row>
    <row r="96" spans="1:11" x14ac:dyDescent="0.25">
      <c r="A96">
        <v>1095</v>
      </c>
      <c r="B96" s="1" t="s">
        <v>125</v>
      </c>
      <c r="C96" t="s">
        <v>19</v>
      </c>
      <c r="D96" t="s">
        <v>16</v>
      </c>
      <c r="E96" t="s">
        <v>35</v>
      </c>
      <c r="F96" t="s">
        <v>22</v>
      </c>
      <c r="G96">
        <v>2</v>
      </c>
      <c r="H96">
        <v>20000</v>
      </c>
      <c r="I96">
        <v>40000</v>
      </c>
      <c r="J96" s="2">
        <f t="shared" si="1"/>
        <v>45598</v>
      </c>
      <c r="K96" t="str">
        <f>TEXT(Table1[[#This Row],[Order_Date]],"mmm")</f>
        <v>Nov</v>
      </c>
    </row>
    <row r="97" spans="1:11" x14ac:dyDescent="0.25">
      <c r="A97">
        <v>1096</v>
      </c>
      <c r="B97" s="1" t="s">
        <v>126</v>
      </c>
      <c r="C97" t="s">
        <v>38</v>
      </c>
      <c r="D97" t="s">
        <v>33</v>
      </c>
      <c r="E97" t="s">
        <v>43</v>
      </c>
      <c r="F97" t="s">
        <v>44</v>
      </c>
      <c r="G97">
        <v>4</v>
      </c>
      <c r="H97">
        <v>1500</v>
      </c>
      <c r="I97">
        <v>6000</v>
      </c>
      <c r="J97" s="2">
        <f t="shared" si="1"/>
        <v>45576</v>
      </c>
      <c r="K97" t="str">
        <f>TEXT(Table1[[#This Row],[Order_Date]],"mmm")</f>
        <v>Oct</v>
      </c>
    </row>
    <row r="98" spans="1:11" x14ac:dyDescent="0.25">
      <c r="A98">
        <v>1097</v>
      </c>
      <c r="B98" s="1" t="s">
        <v>127</v>
      </c>
      <c r="C98" t="s">
        <v>50</v>
      </c>
      <c r="D98" t="s">
        <v>47</v>
      </c>
      <c r="E98" t="s">
        <v>17</v>
      </c>
      <c r="F98" t="s">
        <v>13</v>
      </c>
      <c r="G98">
        <v>4</v>
      </c>
      <c r="H98">
        <v>3000</v>
      </c>
      <c r="I98">
        <v>12000</v>
      </c>
      <c r="J98" s="2">
        <f t="shared" si="1"/>
        <v>45387</v>
      </c>
      <c r="K98" t="str">
        <f>TEXT(Table1[[#This Row],[Order_Date]],"mmm")</f>
        <v>Apr</v>
      </c>
    </row>
    <row r="99" spans="1:11" x14ac:dyDescent="0.25">
      <c r="A99">
        <v>1098</v>
      </c>
      <c r="B99" s="1" t="s">
        <v>128</v>
      </c>
      <c r="C99" t="s">
        <v>57</v>
      </c>
      <c r="D99" t="s">
        <v>39</v>
      </c>
      <c r="E99" t="s">
        <v>35</v>
      </c>
      <c r="F99" t="s">
        <v>22</v>
      </c>
      <c r="G99">
        <v>4</v>
      </c>
      <c r="H99">
        <v>20000</v>
      </c>
      <c r="I99">
        <v>80000</v>
      </c>
      <c r="J99" s="2">
        <f t="shared" si="1"/>
        <v>45329</v>
      </c>
      <c r="K99" t="str">
        <f>TEXT(Table1[[#This Row],[Order_Date]],"mmm")</f>
        <v>Feb</v>
      </c>
    </row>
    <row r="100" spans="1:11" x14ac:dyDescent="0.25">
      <c r="A100">
        <v>1099</v>
      </c>
      <c r="B100" s="1" t="s">
        <v>129</v>
      </c>
      <c r="C100" t="s">
        <v>57</v>
      </c>
      <c r="D100" t="s">
        <v>33</v>
      </c>
      <c r="E100" t="s">
        <v>21</v>
      </c>
      <c r="F100" t="s">
        <v>22</v>
      </c>
      <c r="G100">
        <v>5</v>
      </c>
      <c r="H100">
        <v>50000</v>
      </c>
      <c r="I100">
        <v>250000</v>
      </c>
      <c r="J100" s="2">
        <f t="shared" si="1"/>
        <v>45340</v>
      </c>
      <c r="K100" t="str">
        <f>TEXT(Table1[[#This Row],[Order_Date]],"mmm")</f>
        <v>Feb</v>
      </c>
    </row>
    <row r="101" spans="1:11" x14ac:dyDescent="0.25">
      <c r="A101">
        <v>1100</v>
      </c>
      <c r="B101" s="1" t="s">
        <v>130</v>
      </c>
      <c r="C101" t="s">
        <v>28</v>
      </c>
      <c r="D101" t="s">
        <v>16</v>
      </c>
      <c r="E101" t="s">
        <v>26</v>
      </c>
      <c r="F101" t="s">
        <v>22</v>
      </c>
      <c r="G101">
        <v>2</v>
      </c>
      <c r="H101">
        <v>2500</v>
      </c>
      <c r="I101">
        <v>5000</v>
      </c>
      <c r="J101" s="2">
        <f t="shared" si="1"/>
        <v>45633</v>
      </c>
      <c r="K101" t="str">
        <f>TEXT(Table1[[#This Row],[Order_Date]],"mmm")</f>
        <v>Dec</v>
      </c>
    </row>
    <row r="102" spans="1:11" x14ac:dyDescent="0.25">
      <c r="A102">
        <v>1101</v>
      </c>
      <c r="B102" s="1" t="s">
        <v>131</v>
      </c>
      <c r="C102" t="s">
        <v>15</v>
      </c>
      <c r="D102" t="s">
        <v>20</v>
      </c>
      <c r="E102" t="s">
        <v>43</v>
      </c>
      <c r="F102" t="s">
        <v>44</v>
      </c>
      <c r="G102">
        <v>3</v>
      </c>
      <c r="H102">
        <v>1500</v>
      </c>
      <c r="I102">
        <v>4500</v>
      </c>
      <c r="J102" s="2">
        <f t="shared" si="1"/>
        <v>45378</v>
      </c>
      <c r="K102" t="str">
        <f>TEXT(Table1[[#This Row],[Order_Date]],"mmm")</f>
        <v>Mar</v>
      </c>
    </row>
    <row r="103" spans="1:11" x14ac:dyDescent="0.25">
      <c r="A103">
        <v>1102</v>
      </c>
      <c r="B103" s="1" t="s">
        <v>132</v>
      </c>
      <c r="C103" t="s">
        <v>24</v>
      </c>
      <c r="D103" t="s">
        <v>39</v>
      </c>
      <c r="E103" t="s">
        <v>21</v>
      </c>
      <c r="F103" t="s">
        <v>22</v>
      </c>
      <c r="G103">
        <v>1</v>
      </c>
      <c r="H103">
        <v>50000</v>
      </c>
      <c r="I103">
        <v>50000</v>
      </c>
      <c r="J103" s="2">
        <f t="shared" si="1"/>
        <v>45357</v>
      </c>
      <c r="K103" t="str">
        <f>TEXT(Table1[[#This Row],[Order_Date]],"mmm")</f>
        <v>Mar</v>
      </c>
    </row>
    <row r="104" spans="1:11" x14ac:dyDescent="0.25">
      <c r="A104">
        <v>1103</v>
      </c>
      <c r="B104" s="1" t="s">
        <v>133</v>
      </c>
      <c r="C104" t="s">
        <v>19</v>
      </c>
      <c r="D104" t="s">
        <v>11</v>
      </c>
      <c r="E104" t="s">
        <v>35</v>
      </c>
      <c r="F104" t="s">
        <v>22</v>
      </c>
      <c r="G104">
        <v>2</v>
      </c>
      <c r="H104">
        <v>20000</v>
      </c>
      <c r="I104">
        <v>40000</v>
      </c>
      <c r="J104" s="2">
        <f t="shared" si="1"/>
        <v>45496</v>
      </c>
      <c r="K104" t="str">
        <f>TEXT(Table1[[#This Row],[Order_Date]],"mmm")</f>
        <v>Jul</v>
      </c>
    </row>
    <row r="105" spans="1:11" x14ac:dyDescent="0.25">
      <c r="A105">
        <v>1104</v>
      </c>
      <c r="B105" s="1" t="s">
        <v>134</v>
      </c>
      <c r="C105" t="s">
        <v>57</v>
      </c>
      <c r="D105" t="s">
        <v>20</v>
      </c>
      <c r="E105" t="s">
        <v>35</v>
      </c>
      <c r="F105" t="s">
        <v>22</v>
      </c>
      <c r="G105">
        <v>5</v>
      </c>
      <c r="H105">
        <v>20000</v>
      </c>
      <c r="I105">
        <v>100000</v>
      </c>
      <c r="J105" s="2">
        <f t="shared" si="1"/>
        <v>45555</v>
      </c>
      <c r="K105" t="str">
        <f>TEXT(Table1[[#This Row],[Order_Date]],"mmm")</f>
        <v>Sep</v>
      </c>
    </row>
    <row r="106" spans="1:11" x14ac:dyDescent="0.25">
      <c r="A106">
        <v>1105</v>
      </c>
      <c r="B106" s="1" t="s">
        <v>135</v>
      </c>
      <c r="C106" t="s">
        <v>50</v>
      </c>
      <c r="D106" t="s">
        <v>47</v>
      </c>
      <c r="E106" t="s">
        <v>26</v>
      </c>
      <c r="F106" t="s">
        <v>22</v>
      </c>
      <c r="G106">
        <v>4</v>
      </c>
      <c r="H106">
        <v>2500</v>
      </c>
      <c r="I106">
        <v>10000</v>
      </c>
      <c r="J106" s="2">
        <f t="shared" si="1"/>
        <v>45390</v>
      </c>
      <c r="K106" t="str">
        <f>TEXT(Table1[[#This Row],[Order_Date]],"mmm")</f>
        <v>Apr</v>
      </c>
    </row>
    <row r="107" spans="1:11" x14ac:dyDescent="0.25">
      <c r="A107">
        <v>1106</v>
      </c>
      <c r="B107" s="1" t="s">
        <v>136</v>
      </c>
      <c r="C107" t="s">
        <v>50</v>
      </c>
      <c r="D107" t="s">
        <v>39</v>
      </c>
      <c r="E107" t="s">
        <v>48</v>
      </c>
      <c r="F107" t="s">
        <v>44</v>
      </c>
      <c r="G107">
        <v>5</v>
      </c>
      <c r="H107">
        <v>5000</v>
      </c>
      <c r="I107">
        <v>25000</v>
      </c>
      <c r="J107" s="2">
        <f t="shared" si="1"/>
        <v>45495</v>
      </c>
      <c r="K107" t="str">
        <f>TEXT(Table1[[#This Row],[Order_Date]],"mmm")</f>
        <v>Jul</v>
      </c>
    </row>
    <row r="108" spans="1:11" x14ac:dyDescent="0.25">
      <c r="A108">
        <v>1107</v>
      </c>
      <c r="B108" s="1" t="s">
        <v>49</v>
      </c>
      <c r="C108" t="s">
        <v>57</v>
      </c>
      <c r="D108" t="s">
        <v>20</v>
      </c>
      <c r="E108" t="s">
        <v>26</v>
      </c>
      <c r="F108" t="s">
        <v>22</v>
      </c>
      <c r="G108">
        <v>1</v>
      </c>
      <c r="H108">
        <v>2500</v>
      </c>
      <c r="I108">
        <v>2500</v>
      </c>
      <c r="J108" s="2">
        <f t="shared" si="1"/>
        <v>45505</v>
      </c>
      <c r="K108" t="str">
        <f>TEXT(Table1[[#This Row],[Order_Date]],"mmm")</f>
        <v>Aug</v>
      </c>
    </row>
    <row r="109" spans="1:11" x14ac:dyDescent="0.25">
      <c r="A109">
        <v>1108</v>
      </c>
      <c r="B109" s="1" t="s">
        <v>137</v>
      </c>
      <c r="C109" t="s">
        <v>19</v>
      </c>
      <c r="D109" t="s">
        <v>47</v>
      </c>
      <c r="E109" t="s">
        <v>26</v>
      </c>
      <c r="F109" t="s">
        <v>22</v>
      </c>
      <c r="G109">
        <v>1</v>
      </c>
      <c r="H109">
        <v>2500</v>
      </c>
      <c r="I109">
        <v>2500</v>
      </c>
      <c r="J109" s="2">
        <f t="shared" si="1"/>
        <v>45512</v>
      </c>
      <c r="K109" t="str">
        <f>TEXT(Table1[[#This Row],[Order_Date]],"mmm")</f>
        <v>Aug</v>
      </c>
    </row>
    <row r="110" spans="1:11" x14ac:dyDescent="0.25">
      <c r="A110">
        <v>1109</v>
      </c>
      <c r="B110" s="1" t="s">
        <v>80</v>
      </c>
      <c r="C110" t="s">
        <v>42</v>
      </c>
      <c r="D110" t="s">
        <v>16</v>
      </c>
      <c r="E110" t="s">
        <v>51</v>
      </c>
      <c r="F110" t="s">
        <v>13</v>
      </c>
      <c r="G110">
        <v>2</v>
      </c>
      <c r="H110">
        <v>2000</v>
      </c>
      <c r="I110">
        <v>4000</v>
      </c>
      <c r="J110" s="2">
        <f t="shared" si="1"/>
        <v>45628</v>
      </c>
      <c r="K110" t="str">
        <f>TEXT(Table1[[#This Row],[Order_Date]],"mmm")</f>
        <v>Dec</v>
      </c>
    </row>
    <row r="111" spans="1:11" x14ac:dyDescent="0.25">
      <c r="A111">
        <v>1110</v>
      </c>
      <c r="B111" s="1" t="s">
        <v>138</v>
      </c>
      <c r="C111" t="s">
        <v>24</v>
      </c>
      <c r="D111" t="s">
        <v>20</v>
      </c>
      <c r="E111" t="s">
        <v>43</v>
      </c>
      <c r="F111" t="s">
        <v>44</v>
      </c>
      <c r="G111">
        <v>4</v>
      </c>
      <c r="H111">
        <v>1500</v>
      </c>
      <c r="I111">
        <v>6000</v>
      </c>
      <c r="J111" s="2">
        <f t="shared" si="1"/>
        <v>45347</v>
      </c>
      <c r="K111" t="str">
        <f>TEXT(Table1[[#This Row],[Order_Date]],"mmm")</f>
        <v>Feb</v>
      </c>
    </row>
    <row r="112" spans="1:11" x14ac:dyDescent="0.25">
      <c r="A112">
        <v>1111</v>
      </c>
      <c r="B112" s="1" t="s">
        <v>139</v>
      </c>
      <c r="C112" t="s">
        <v>32</v>
      </c>
      <c r="D112" t="s">
        <v>39</v>
      </c>
      <c r="E112" t="s">
        <v>43</v>
      </c>
      <c r="F112" t="s">
        <v>44</v>
      </c>
      <c r="G112">
        <v>1</v>
      </c>
      <c r="H112">
        <v>1500</v>
      </c>
      <c r="I112">
        <v>1500</v>
      </c>
      <c r="J112" s="2">
        <f t="shared" si="1"/>
        <v>45475</v>
      </c>
      <c r="K112" t="str">
        <f>TEXT(Table1[[#This Row],[Order_Date]],"mmm")</f>
        <v>Jul</v>
      </c>
    </row>
    <row r="113" spans="1:11" x14ac:dyDescent="0.25">
      <c r="A113">
        <v>1112</v>
      </c>
      <c r="B113" s="1" t="s">
        <v>127</v>
      </c>
      <c r="C113" t="s">
        <v>32</v>
      </c>
      <c r="D113" t="s">
        <v>39</v>
      </c>
      <c r="E113" t="s">
        <v>43</v>
      </c>
      <c r="F113" t="s">
        <v>44</v>
      </c>
      <c r="G113">
        <v>5</v>
      </c>
      <c r="H113">
        <v>1500</v>
      </c>
      <c r="I113">
        <v>7500</v>
      </c>
      <c r="J113" s="2">
        <f t="shared" si="1"/>
        <v>45387</v>
      </c>
      <c r="K113" t="str">
        <f>TEXT(Table1[[#This Row],[Order_Date]],"mmm")</f>
        <v>Apr</v>
      </c>
    </row>
    <row r="114" spans="1:11" x14ac:dyDescent="0.25">
      <c r="A114">
        <v>1113</v>
      </c>
      <c r="B114" s="1" t="s">
        <v>140</v>
      </c>
      <c r="C114" t="s">
        <v>10</v>
      </c>
      <c r="D114" t="s">
        <v>11</v>
      </c>
      <c r="E114" t="s">
        <v>35</v>
      </c>
      <c r="F114" t="s">
        <v>22</v>
      </c>
      <c r="G114">
        <v>5</v>
      </c>
      <c r="H114">
        <v>20000</v>
      </c>
      <c r="I114">
        <v>100000</v>
      </c>
      <c r="J114" s="2">
        <f t="shared" si="1"/>
        <v>45646</v>
      </c>
      <c r="K114" t="str">
        <f>TEXT(Table1[[#This Row],[Order_Date]],"mmm")</f>
        <v>Dec</v>
      </c>
    </row>
    <row r="115" spans="1:11" x14ac:dyDescent="0.25">
      <c r="A115">
        <v>1114</v>
      </c>
      <c r="B115" s="1" t="s">
        <v>141</v>
      </c>
      <c r="C115" t="s">
        <v>50</v>
      </c>
      <c r="D115" t="s">
        <v>47</v>
      </c>
      <c r="E115" t="s">
        <v>21</v>
      </c>
      <c r="F115" t="s">
        <v>22</v>
      </c>
      <c r="G115">
        <v>1</v>
      </c>
      <c r="H115">
        <v>50000</v>
      </c>
      <c r="I115">
        <v>50000</v>
      </c>
      <c r="J115" s="2">
        <f t="shared" si="1"/>
        <v>45382</v>
      </c>
      <c r="K115" t="str">
        <f>TEXT(Table1[[#This Row],[Order_Date]],"mmm")</f>
        <v>Mar</v>
      </c>
    </row>
    <row r="116" spans="1:11" x14ac:dyDescent="0.25">
      <c r="A116">
        <v>1115</v>
      </c>
      <c r="B116" s="1" t="s">
        <v>132</v>
      </c>
      <c r="C116" t="s">
        <v>28</v>
      </c>
      <c r="D116" t="s">
        <v>16</v>
      </c>
      <c r="E116" t="s">
        <v>26</v>
      </c>
      <c r="F116" t="s">
        <v>22</v>
      </c>
      <c r="G116">
        <v>4</v>
      </c>
      <c r="H116">
        <v>2500</v>
      </c>
      <c r="I116">
        <v>10000</v>
      </c>
      <c r="J116" s="2">
        <f t="shared" si="1"/>
        <v>45357</v>
      </c>
      <c r="K116" t="str">
        <f>TEXT(Table1[[#This Row],[Order_Date]],"mmm")</f>
        <v>Mar</v>
      </c>
    </row>
    <row r="117" spans="1:11" x14ac:dyDescent="0.25">
      <c r="A117">
        <v>1116</v>
      </c>
      <c r="B117" s="1" t="s">
        <v>142</v>
      </c>
      <c r="C117" t="s">
        <v>57</v>
      </c>
      <c r="D117" t="s">
        <v>25</v>
      </c>
      <c r="E117" t="s">
        <v>21</v>
      </c>
      <c r="F117" t="s">
        <v>22</v>
      </c>
      <c r="G117">
        <v>5</v>
      </c>
      <c r="H117">
        <v>50000</v>
      </c>
      <c r="I117">
        <v>250000</v>
      </c>
      <c r="J117" s="2">
        <f t="shared" si="1"/>
        <v>45547</v>
      </c>
      <c r="K117" t="str">
        <f>TEXT(Table1[[#This Row],[Order_Date]],"mmm")</f>
        <v>Sep</v>
      </c>
    </row>
    <row r="118" spans="1:11" x14ac:dyDescent="0.25">
      <c r="A118">
        <v>1117</v>
      </c>
      <c r="B118" s="1" t="s">
        <v>143</v>
      </c>
      <c r="C118" t="s">
        <v>42</v>
      </c>
      <c r="D118" t="s">
        <v>16</v>
      </c>
      <c r="E118" t="s">
        <v>26</v>
      </c>
      <c r="F118" t="s">
        <v>22</v>
      </c>
      <c r="G118">
        <v>2</v>
      </c>
      <c r="H118">
        <v>2500</v>
      </c>
      <c r="I118">
        <v>5000</v>
      </c>
      <c r="J118" s="2">
        <f t="shared" si="1"/>
        <v>45437</v>
      </c>
      <c r="K118" t="str">
        <f>TEXT(Table1[[#This Row],[Order_Date]],"mmm")</f>
        <v>May</v>
      </c>
    </row>
    <row r="119" spans="1:11" x14ac:dyDescent="0.25">
      <c r="A119">
        <v>1118</v>
      </c>
      <c r="B119" s="1" t="s">
        <v>144</v>
      </c>
      <c r="C119" t="s">
        <v>15</v>
      </c>
      <c r="D119" t="s">
        <v>47</v>
      </c>
      <c r="E119" t="s">
        <v>26</v>
      </c>
      <c r="F119" t="s">
        <v>22</v>
      </c>
      <c r="G119">
        <v>4</v>
      </c>
      <c r="H119">
        <v>2500</v>
      </c>
      <c r="I119">
        <v>10000</v>
      </c>
      <c r="J119" s="2">
        <f t="shared" si="1"/>
        <v>45418</v>
      </c>
      <c r="K119" t="str">
        <f>TEXT(Table1[[#This Row],[Order_Date]],"mmm")</f>
        <v>May</v>
      </c>
    </row>
    <row r="120" spans="1:11" x14ac:dyDescent="0.25">
      <c r="A120">
        <v>1119</v>
      </c>
      <c r="B120" s="1" t="s">
        <v>145</v>
      </c>
      <c r="C120" t="s">
        <v>50</v>
      </c>
      <c r="D120" t="s">
        <v>20</v>
      </c>
      <c r="E120" t="s">
        <v>21</v>
      </c>
      <c r="F120" t="s">
        <v>22</v>
      </c>
      <c r="G120">
        <v>3</v>
      </c>
      <c r="H120">
        <v>50000</v>
      </c>
      <c r="I120">
        <v>150000</v>
      </c>
      <c r="J120" s="2">
        <f t="shared" si="1"/>
        <v>45521</v>
      </c>
      <c r="K120" t="str">
        <f>TEXT(Table1[[#This Row],[Order_Date]],"mmm")</f>
        <v>Aug</v>
      </c>
    </row>
    <row r="121" spans="1:11" x14ac:dyDescent="0.25">
      <c r="A121">
        <v>1120</v>
      </c>
      <c r="B121" s="1" t="s">
        <v>146</v>
      </c>
      <c r="C121" t="s">
        <v>32</v>
      </c>
      <c r="D121" t="s">
        <v>11</v>
      </c>
      <c r="E121" t="s">
        <v>51</v>
      </c>
      <c r="F121" t="s">
        <v>13</v>
      </c>
      <c r="G121">
        <v>4</v>
      </c>
      <c r="H121">
        <v>2000</v>
      </c>
      <c r="I121">
        <v>8000</v>
      </c>
      <c r="J121" s="2">
        <f t="shared" si="1"/>
        <v>45303</v>
      </c>
      <c r="K121" t="str">
        <f>TEXT(Table1[[#This Row],[Order_Date]],"mmm")</f>
        <v>Jan</v>
      </c>
    </row>
    <row r="122" spans="1:11" x14ac:dyDescent="0.25">
      <c r="A122">
        <v>1121</v>
      </c>
      <c r="B122" s="1" t="s">
        <v>147</v>
      </c>
      <c r="C122" t="s">
        <v>57</v>
      </c>
      <c r="D122" t="s">
        <v>16</v>
      </c>
      <c r="E122" t="s">
        <v>35</v>
      </c>
      <c r="F122" t="s">
        <v>22</v>
      </c>
      <c r="G122">
        <v>1</v>
      </c>
      <c r="H122">
        <v>20000</v>
      </c>
      <c r="I122">
        <v>20000</v>
      </c>
      <c r="J122" s="2">
        <f t="shared" si="1"/>
        <v>45615</v>
      </c>
      <c r="K122" t="str">
        <f>TEXT(Table1[[#This Row],[Order_Date]],"mmm")</f>
        <v>Nov</v>
      </c>
    </row>
    <row r="123" spans="1:11" x14ac:dyDescent="0.25">
      <c r="A123">
        <v>1122</v>
      </c>
      <c r="B123" s="1" t="s">
        <v>146</v>
      </c>
      <c r="C123" t="s">
        <v>42</v>
      </c>
      <c r="D123" t="s">
        <v>25</v>
      </c>
      <c r="E123" t="s">
        <v>35</v>
      </c>
      <c r="F123" t="s">
        <v>22</v>
      </c>
      <c r="G123">
        <v>3</v>
      </c>
      <c r="H123">
        <v>20000</v>
      </c>
      <c r="I123">
        <v>60000</v>
      </c>
      <c r="J123" s="2">
        <f t="shared" si="1"/>
        <v>45303</v>
      </c>
      <c r="K123" t="str">
        <f>TEXT(Table1[[#This Row],[Order_Date]],"mmm")</f>
        <v>Jan</v>
      </c>
    </row>
    <row r="124" spans="1:11" x14ac:dyDescent="0.25">
      <c r="A124">
        <v>1123</v>
      </c>
      <c r="B124" s="1" t="s">
        <v>92</v>
      </c>
      <c r="C124" t="s">
        <v>15</v>
      </c>
      <c r="D124" t="s">
        <v>25</v>
      </c>
      <c r="E124" t="s">
        <v>51</v>
      </c>
      <c r="F124" t="s">
        <v>13</v>
      </c>
      <c r="G124">
        <v>5</v>
      </c>
      <c r="H124">
        <v>2000</v>
      </c>
      <c r="I124">
        <v>10000</v>
      </c>
      <c r="J124" s="2">
        <f t="shared" si="1"/>
        <v>45405</v>
      </c>
      <c r="K124" t="str">
        <f>TEXT(Table1[[#This Row],[Order_Date]],"mmm")</f>
        <v>Apr</v>
      </c>
    </row>
    <row r="125" spans="1:11" x14ac:dyDescent="0.25">
      <c r="A125">
        <v>1124</v>
      </c>
      <c r="B125" s="1" t="s">
        <v>148</v>
      </c>
      <c r="C125" t="s">
        <v>38</v>
      </c>
      <c r="D125" t="s">
        <v>47</v>
      </c>
      <c r="E125" t="s">
        <v>43</v>
      </c>
      <c r="F125" t="s">
        <v>44</v>
      </c>
      <c r="G125">
        <v>5</v>
      </c>
      <c r="H125">
        <v>1500</v>
      </c>
      <c r="I125">
        <v>7500</v>
      </c>
      <c r="J125" s="2">
        <f t="shared" si="1"/>
        <v>45607</v>
      </c>
      <c r="K125" t="str">
        <f>TEXT(Table1[[#This Row],[Order_Date]],"mmm")</f>
        <v>Nov</v>
      </c>
    </row>
    <row r="126" spans="1:11" x14ac:dyDescent="0.25">
      <c r="A126">
        <v>1125</v>
      </c>
      <c r="B126" s="1" t="s">
        <v>127</v>
      </c>
      <c r="C126" t="s">
        <v>42</v>
      </c>
      <c r="D126" t="s">
        <v>20</v>
      </c>
      <c r="E126" t="s">
        <v>12</v>
      </c>
      <c r="F126" t="s">
        <v>13</v>
      </c>
      <c r="G126">
        <v>2</v>
      </c>
      <c r="H126">
        <v>800</v>
      </c>
      <c r="I126">
        <v>1600</v>
      </c>
      <c r="J126" s="2">
        <f t="shared" si="1"/>
        <v>45387</v>
      </c>
      <c r="K126" t="str">
        <f>TEXT(Table1[[#This Row],[Order_Date]],"mmm")</f>
        <v>Apr</v>
      </c>
    </row>
    <row r="127" spans="1:11" x14ac:dyDescent="0.25">
      <c r="A127">
        <v>1126</v>
      </c>
      <c r="B127" s="1" t="s">
        <v>41</v>
      </c>
      <c r="C127" t="s">
        <v>15</v>
      </c>
      <c r="D127" t="s">
        <v>20</v>
      </c>
      <c r="E127" t="s">
        <v>35</v>
      </c>
      <c r="F127" t="s">
        <v>22</v>
      </c>
      <c r="G127">
        <v>3</v>
      </c>
      <c r="H127">
        <v>20000</v>
      </c>
      <c r="I127">
        <v>60000</v>
      </c>
      <c r="J127" s="2">
        <f t="shared" si="1"/>
        <v>45425</v>
      </c>
      <c r="K127" t="str">
        <f>TEXT(Table1[[#This Row],[Order_Date]],"mmm")</f>
        <v>May</v>
      </c>
    </row>
    <row r="128" spans="1:11" x14ac:dyDescent="0.25">
      <c r="A128">
        <v>1127</v>
      </c>
      <c r="B128" s="1" t="s">
        <v>106</v>
      </c>
      <c r="C128" t="s">
        <v>53</v>
      </c>
      <c r="D128" t="s">
        <v>25</v>
      </c>
      <c r="E128" t="s">
        <v>48</v>
      </c>
      <c r="F128" t="s">
        <v>44</v>
      </c>
      <c r="G128">
        <v>1</v>
      </c>
      <c r="H128">
        <v>5000</v>
      </c>
      <c r="I128">
        <v>5000</v>
      </c>
      <c r="J128" s="2">
        <f t="shared" si="1"/>
        <v>45326</v>
      </c>
      <c r="K128" t="str">
        <f>TEXT(Table1[[#This Row],[Order_Date]],"mmm")</f>
        <v>Feb</v>
      </c>
    </row>
    <row r="129" spans="1:11" x14ac:dyDescent="0.25">
      <c r="A129">
        <v>1128</v>
      </c>
      <c r="B129" s="1" t="s">
        <v>149</v>
      </c>
      <c r="C129" t="s">
        <v>38</v>
      </c>
      <c r="D129" t="s">
        <v>16</v>
      </c>
      <c r="E129" t="s">
        <v>48</v>
      </c>
      <c r="F129" t="s">
        <v>44</v>
      </c>
      <c r="G129">
        <v>5</v>
      </c>
      <c r="H129">
        <v>5000</v>
      </c>
      <c r="I129">
        <v>25000</v>
      </c>
      <c r="J129" s="2">
        <f t="shared" si="1"/>
        <v>45597</v>
      </c>
      <c r="K129" t="str">
        <f>TEXT(Table1[[#This Row],[Order_Date]],"mmm")</f>
        <v>Nov</v>
      </c>
    </row>
    <row r="130" spans="1:11" x14ac:dyDescent="0.25">
      <c r="A130">
        <v>1129</v>
      </c>
      <c r="B130" s="1" t="s">
        <v>150</v>
      </c>
      <c r="C130" t="s">
        <v>50</v>
      </c>
      <c r="D130" t="s">
        <v>33</v>
      </c>
      <c r="E130" t="s">
        <v>43</v>
      </c>
      <c r="F130" t="s">
        <v>44</v>
      </c>
      <c r="G130">
        <v>2</v>
      </c>
      <c r="H130">
        <v>1500</v>
      </c>
      <c r="I130">
        <v>3000</v>
      </c>
      <c r="J130" s="2">
        <f t="shared" ref="J130:J193" si="2">DATE(RIGHT(B130,4), MID(B130,4,2), LEFT(B130,2))</f>
        <v>45368</v>
      </c>
      <c r="K130" t="str">
        <f>TEXT(Table1[[#This Row],[Order_Date]],"mmm")</f>
        <v>Mar</v>
      </c>
    </row>
    <row r="131" spans="1:11" x14ac:dyDescent="0.25">
      <c r="A131">
        <v>1130</v>
      </c>
      <c r="B131" s="1" t="s">
        <v>151</v>
      </c>
      <c r="C131" t="s">
        <v>53</v>
      </c>
      <c r="D131" t="s">
        <v>16</v>
      </c>
      <c r="E131" t="s">
        <v>43</v>
      </c>
      <c r="F131" t="s">
        <v>44</v>
      </c>
      <c r="G131">
        <v>1</v>
      </c>
      <c r="H131">
        <v>1500</v>
      </c>
      <c r="I131">
        <v>1500</v>
      </c>
      <c r="J131" s="2">
        <f t="shared" si="2"/>
        <v>45477</v>
      </c>
      <c r="K131" t="str">
        <f>TEXT(Table1[[#This Row],[Order_Date]],"mmm")</f>
        <v>Jul</v>
      </c>
    </row>
    <row r="132" spans="1:11" x14ac:dyDescent="0.25">
      <c r="A132">
        <v>1131</v>
      </c>
      <c r="B132" s="1" t="s">
        <v>152</v>
      </c>
      <c r="C132" t="s">
        <v>30</v>
      </c>
      <c r="D132" t="s">
        <v>25</v>
      </c>
      <c r="E132" t="s">
        <v>17</v>
      </c>
      <c r="F132" t="s">
        <v>13</v>
      </c>
      <c r="G132">
        <v>2</v>
      </c>
      <c r="H132">
        <v>3000</v>
      </c>
      <c r="I132">
        <v>6000</v>
      </c>
      <c r="J132" s="2">
        <f t="shared" si="2"/>
        <v>45630</v>
      </c>
      <c r="K132" t="str">
        <f>TEXT(Table1[[#This Row],[Order_Date]],"mmm")</f>
        <v>Dec</v>
      </c>
    </row>
    <row r="133" spans="1:11" x14ac:dyDescent="0.25">
      <c r="A133">
        <v>1132</v>
      </c>
      <c r="B133" s="1" t="s">
        <v>153</v>
      </c>
      <c r="C133" t="s">
        <v>10</v>
      </c>
      <c r="D133" t="s">
        <v>33</v>
      </c>
      <c r="E133" t="s">
        <v>12</v>
      </c>
      <c r="F133" t="s">
        <v>13</v>
      </c>
      <c r="G133">
        <v>5</v>
      </c>
      <c r="H133">
        <v>800</v>
      </c>
      <c r="I133">
        <v>4000</v>
      </c>
      <c r="J133" s="2">
        <f t="shared" si="2"/>
        <v>45421</v>
      </c>
      <c r="K133" t="str">
        <f>TEXT(Table1[[#This Row],[Order_Date]],"mmm")</f>
        <v>May</v>
      </c>
    </row>
    <row r="134" spans="1:11" x14ac:dyDescent="0.25">
      <c r="A134">
        <v>1133</v>
      </c>
      <c r="B134" s="1" t="s">
        <v>154</v>
      </c>
      <c r="C134" t="s">
        <v>19</v>
      </c>
      <c r="D134" t="s">
        <v>33</v>
      </c>
      <c r="E134" t="s">
        <v>51</v>
      </c>
      <c r="F134" t="s">
        <v>13</v>
      </c>
      <c r="G134">
        <v>4</v>
      </c>
      <c r="H134">
        <v>2000</v>
      </c>
      <c r="I134">
        <v>8000</v>
      </c>
      <c r="J134" s="2">
        <f t="shared" si="2"/>
        <v>45360</v>
      </c>
      <c r="K134" t="str">
        <f>TEXT(Table1[[#This Row],[Order_Date]],"mmm")</f>
        <v>Mar</v>
      </c>
    </row>
    <row r="135" spans="1:11" x14ac:dyDescent="0.25">
      <c r="A135">
        <v>1134</v>
      </c>
      <c r="B135" s="1" t="s">
        <v>155</v>
      </c>
      <c r="C135" t="s">
        <v>10</v>
      </c>
      <c r="D135" t="s">
        <v>25</v>
      </c>
      <c r="E135" t="s">
        <v>21</v>
      </c>
      <c r="F135" t="s">
        <v>22</v>
      </c>
      <c r="G135">
        <v>2</v>
      </c>
      <c r="H135">
        <v>50000</v>
      </c>
      <c r="I135">
        <v>100000</v>
      </c>
      <c r="J135" s="2">
        <f t="shared" si="2"/>
        <v>45317</v>
      </c>
      <c r="K135" t="str">
        <f>TEXT(Table1[[#This Row],[Order_Date]],"mmm")</f>
        <v>Jan</v>
      </c>
    </row>
    <row r="136" spans="1:11" x14ac:dyDescent="0.25">
      <c r="A136">
        <v>1135</v>
      </c>
      <c r="B136" s="1" t="s">
        <v>156</v>
      </c>
      <c r="C136" t="s">
        <v>10</v>
      </c>
      <c r="D136" t="s">
        <v>11</v>
      </c>
      <c r="E136" t="s">
        <v>43</v>
      </c>
      <c r="F136" t="s">
        <v>44</v>
      </c>
      <c r="G136">
        <v>4</v>
      </c>
      <c r="H136">
        <v>1500</v>
      </c>
      <c r="I136">
        <v>6000</v>
      </c>
      <c r="J136" s="2">
        <f t="shared" si="2"/>
        <v>45310</v>
      </c>
      <c r="K136" t="str">
        <f>TEXT(Table1[[#This Row],[Order_Date]],"mmm")</f>
        <v>Jan</v>
      </c>
    </row>
    <row r="137" spans="1:11" x14ac:dyDescent="0.25">
      <c r="A137">
        <v>1136</v>
      </c>
      <c r="B137" s="1" t="s">
        <v>157</v>
      </c>
      <c r="C137" t="s">
        <v>50</v>
      </c>
      <c r="D137" t="s">
        <v>39</v>
      </c>
      <c r="E137" t="s">
        <v>17</v>
      </c>
      <c r="F137" t="s">
        <v>13</v>
      </c>
      <c r="G137">
        <v>3</v>
      </c>
      <c r="H137">
        <v>3000</v>
      </c>
      <c r="I137">
        <v>9000</v>
      </c>
      <c r="J137" s="2">
        <f t="shared" si="2"/>
        <v>45396</v>
      </c>
      <c r="K137" t="str">
        <f>TEXT(Table1[[#This Row],[Order_Date]],"mmm")</f>
        <v>Apr</v>
      </c>
    </row>
    <row r="138" spans="1:11" x14ac:dyDescent="0.25">
      <c r="A138">
        <v>1137</v>
      </c>
      <c r="B138" s="1" t="s">
        <v>130</v>
      </c>
      <c r="C138" t="s">
        <v>42</v>
      </c>
      <c r="D138" t="s">
        <v>39</v>
      </c>
      <c r="E138" t="s">
        <v>26</v>
      </c>
      <c r="F138" t="s">
        <v>22</v>
      </c>
      <c r="G138">
        <v>4</v>
      </c>
      <c r="H138">
        <v>2500</v>
      </c>
      <c r="I138">
        <v>10000</v>
      </c>
      <c r="J138" s="2">
        <f t="shared" si="2"/>
        <v>45633</v>
      </c>
      <c r="K138" t="str">
        <f>TEXT(Table1[[#This Row],[Order_Date]],"mmm")</f>
        <v>Dec</v>
      </c>
    </row>
    <row r="139" spans="1:11" x14ac:dyDescent="0.25">
      <c r="A139">
        <v>1138</v>
      </c>
      <c r="B139" s="1" t="s">
        <v>158</v>
      </c>
      <c r="C139" t="s">
        <v>57</v>
      </c>
      <c r="D139" t="s">
        <v>33</v>
      </c>
      <c r="E139" t="s">
        <v>26</v>
      </c>
      <c r="F139" t="s">
        <v>22</v>
      </c>
      <c r="G139">
        <v>4</v>
      </c>
      <c r="H139">
        <v>2500</v>
      </c>
      <c r="I139">
        <v>10000</v>
      </c>
      <c r="J139" s="2">
        <f t="shared" si="2"/>
        <v>45562</v>
      </c>
      <c r="K139" t="str">
        <f>TEXT(Table1[[#This Row],[Order_Date]],"mmm")</f>
        <v>Sep</v>
      </c>
    </row>
    <row r="140" spans="1:11" x14ac:dyDescent="0.25">
      <c r="A140">
        <v>1139</v>
      </c>
      <c r="B140" s="1" t="s">
        <v>67</v>
      </c>
      <c r="C140" t="s">
        <v>38</v>
      </c>
      <c r="D140" t="s">
        <v>33</v>
      </c>
      <c r="E140" t="s">
        <v>48</v>
      </c>
      <c r="F140" t="s">
        <v>44</v>
      </c>
      <c r="G140">
        <v>1</v>
      </c>
      <c r="H140">
        <v>5000</v>
      </c>
      <c r="I140">
        <v>5000</v>
      </c>
      <c r="J140" s="2">
        <f t="shared" si="2"/>
        <v>45550</v>
      </c>
      <c r="K140" t="str">
        <f>TEXT(Table1[[#This Row],[Order_Date]],"mmm")</f>
        <v>Sep</v>
      </c>
    </row>
    <row r="141" spans="1:11" x14ac:dyDescent="0.25">
      <c r="A141">
        <v>1140</v>
      </c>
      <c r="B141" s="1" t="s">
        <v>159</v>
      </c>
      <c r="C141" t="s">
        <v>24</v>
      </c>
      <c r="D141" t="s">
        <v>16</v>
      </c>
      <c r="E141" t="s">
        <v>48</v>
      </c>
      <c r="F141" t="s">
        <v>44</v>
      </c>
      <c r="G141">
        <v>4</v>
      </c>
      <c r="H141">
        <v>5000</v>
      </c>
      <c r="I141">
        <v>20000</v>
      </c>
      <c r="J141" s="2">
        <f t="shared" si="2"/>
        <v>45582</v>
      </c>
      <c r="K141" t="str">
        <f>TEXT(Table1[[#This Row],[Order_Date]],"mmm")</f>
        <v>Oct</v>
      </c>
    </row>
    <row r="142" spans="1:11" x14ac:dyDescent="0.25">
      <c r="A142">
        <v>1141</v>
      </c>
      <c r="B142" s="1" t="s">
        <v>76</v>
      </c>
      <c r="C142" t="s">
        <v>15</v>
      </c>
      <c r="D142" t="s">
        <v>39</v>
      </c>
      <c r="E142" t="s">
        <v>12</v>
      </c>
      <c r="F142" t="s">
        <v>13</v>
      </c>
      <c r="G142">
        <v>4</v>
      </c>
      <c r="H142">
        <v>800</v>
      </c>
      <c r="I142">
        <v>3200</v>
      </c>
      <c r="J142" s="2">
        <f t="shared" si="2"/>
        <v>45313</v>
      </c>
      <c r="K142" t="str">
        <f>TEXT(Table1[[#This Row],[Order_Date]],"mmm")</f>
        <v>Jan</v>
      </c>
    </row>
    <row r="143" spans="1:11" x14ac:dyDescent="0.25">
      <c r="A143">
        <v>1142</v>
      </c>
      <c r="B143" s="1" t="s">
        <v>96</v>
      </c>
      <c r="C143" t="s">
        <v>15</v>
      </c>
      <c r="D143" t="s">
        <v>47</v>
      </c>
      <c r="E143" t="s">
        <v>48</v>
      </c>
      <c r="F143" t="s">
        <v>44</v>
      </c>
      <c r="G143">
        <v>1</v>
      </c>
      <c r="H143">
        <v>5000</v>
      </c>
      <c r="I143">
        <v>5000</v>
      </c>
      <c r="J143" s="2">
        <f t="shared" si="2"/>
        <v>45648</v>
      </c>
      <c r="K143" t="str">
        <f>TEXT(Table1[[#This Row],[Order_Date]],"mmm")</f>
        <v>Dec</v>
      </c>
    </row>
    <row r="144" spans="1:11" x14ac:dyDescent="0.25">
      <c r="A144">
        <v>1143</v>
      </c>
      <c r="B144" s="1" t="s">
        <v>160</v>
      </c>
      <c r="C144" t="s">
        <v>32</v>
      </c>
      <c r="D144" t="s">
        <v>25</v>
      </c>
      <c r="E144" t="s">
        <v>12</v>
      </c>
      <c r="F144" t="s">
        <v>13</v>
      </c>
      <c r="G144">
        <v>5</v>
      </c>
      <c r="H144">
        <v>800</v>
      </c>
      <c r="I144">
        <v>4000</v>
      </c>
      <c r="J144" s="2">
        <f t="shared" si="2"/>
        <v>45335</v>
      </c>
      <c r="K144" t="str">
        <f>TEXT(Table1[[#This Row],[Order_Date]],"mmm")</f>
        <v>Feb</v>
      </c>
    </row>
    <row r="145" spans="1:11" x14ac:dyDescent="0.25">
      <c r="A145">
        <v>1144</v>
      </c>
      <c r="B145" s="1" t="s">
        <v>77</v>
      </c>
      <c r="C145" t="s">
        <v>38</v>
      </c>
      <c r="D145" t="s">
        <v>11</v>
      </c>
      <c r="E145" t="s">
        <v>35</v>
      </c>
      <c r="F145" t="s">
        <v>22</v>
      </c>
      <c r="G145">
        <v>4</v>
      </c>
      <c r="H145">
        <v>20000</v>
      </c>
      <c r="I145">
        <v>80000</v>
      </c>
      <c r="J145" s="2">
        <f t="shared" si="2"/>
        <v>45506</v>
      </c>
      <c r="K145" t="str">
        <f>TEXT(Table1[[#This Row],[Order_Date]],"mmm")</f>
        <v>Aug</v>
      </c>
    </row>
    <row r="146" spans="1:11" x14ac:dyDescent="0.25">
      <c r="A146">
        <v>1145</v>
      </c>
      <c r="B146" s="1" t="s">
        <v>161</v>
      </c>
      <c r="C146" t="s">
        <v>57</v>
      </c>
      <c r="D146" t="s">
        <v>47</v>
      </c>
      <c r="E146" t="s">
        <v>21</v>
      </c>
      <c r="F146" t="s">
        <v>22</v>
      </c>
      <c r="G146">
        <v>3</v>
      </c>
      <c r="H146">
        <v>50000</v>
      </c>
      <c r="I146">
        <v>150000</v>
      </c>
      <c r="J146" s="2">
        <f t="shared" si="2"/>
        <v>45439</v>
      </c>
      <c r="K146" t="str">
        <f>TEXT(Table1[[#This Row],[Order_Date]],"mmm")</f>
        <v>May</v>
      </c>
    </row>
    <row r="147" spans="1:11" x14ac:dyDescent="0.25">
      <c r="A147">
        <v>1146</v>
      </c>
      <c r="B147" s="1" t="s">
        <v>162</v>
      </c>
      <c r="C147" t="s">
        <v>38</v>
      </c>
      <c r="D147" t="s">
        <v>47</v>
      </c>
      <c r="E147" t="s">
        <v>51</v>
      </c>
      <c r="F147" t="s">
        <v>13</v>
      </c>
      <c r="G147">
        <v>5</v>
      </c>
      <c r="H147">
        <v>2000</v>
      </c>
      <c r="I147">
        <v>10000</v>
      </c>
      <c r="J147" s="2">
        <f t="shared" si="2"/>
        <v>45409</v>
      </c>
      <c r="K147" t="str">
        <f>TEXT(Table1[[#This Row],[Order_Date]],"mmm")</f>
        <v>Apr</v>
      </c>
    </row>
    <row r="148" spans="1:11" x14ac:dyDescent="0.25">
      <c r="A148">
        <v>1147</v>
      </c>
      <c r="B148" s="1" t="s">
        <v>123</v>
      </c>
      <c r="C148" t="s">
        <v>24</v>
      </c>
      <c r="D148" t="s">
        <v>20</v>
      </c>
      <c r="E148" t="s">
        <v>12</v>
      </c>
      <c r="F148" t="s">
        <v>13</v>
      </c>
      <c r="G148">
        <v>1</v>
      </c>
      <c r="H148">
        <v>800</v>
      </c>
      <c r="I148">
        <v>800</v>
      </c>
      <c r="J148" s="2">
        <f t="shared" si="2"/>
        <v>45534</v>
      </c>
      <c r="K148" t="str">
        <f>TEXT(Table1[[#This Row],[Order_Date]],"mmm")</f>
        <v>Aug</v>
      </c>
    </row>
    <row r="149" spans="1:11" x14ac:dyDescent="0.25">
      <c r="A149">
        <v>1148</v>
      </c>
      <c r="B149" s="1" t="s">
        <v>163</v>
      </c>
      <c r="C149" t="s">
        <v>53</v>
      </c>
      <c r="D149" t="s">
        <v>16</v>
      </c>
      <c r="E149" t="s">
        <v>26</v>
      </c>
      <c r="F149" t="s">
        <v>22</v>
      </c>
      <c r="G149">
        <v>4</v>
      </c>
      <c r="H149">
        <v>2500</v>
      </c>
      <c r="I149">
        <v>10000</v>
      </c>
      <c r="J149" s="2">
        <f t="shared" si="2"/>
        <v>45532</v>
      </c>
      <c r="K149" t="str">
        <f>TEXT(Table1[[#This Row],[Order_Date]],"mmm")</f>
        <v>Aug</v>
      </c>
    </row>
    <row r="150" spans="1:11" x14ac:dyDescent="0.25">
      <c r="A150">
        <v>1149</v>
      </c>
      <c r="B150" s="1" t="s">
        <v>164</v>
      </c>
      <c r="C150" t="s">
        <v>15</v>
      </c>
      <c r="D150" t="s">
        <v>20</v>
      </c>
      <c r="E150" t="s">
        <v>17</v>
      </c>
      <c r="F150" t="s">
        <v>13</v>
      </c>
      <c r="G150">
        <v>4</v>
      </c>
      <c r="H150">
        <v>3000</v>
      </c>
      <c r="I150">
        <v>12000</v>
      </c>
      <c r="J150" s="2">
        <f t="shared" si="2"/>
        <v>45315</v>
      </c>
      <c r="K150" t="str">
        <f>TEXT(Table1[[#This Row],[Order_Date]],"mmm")</f>
        <v>Jan</v>
      </c>
    </row>
    <row r="151" spans="1:11" x14ac:dyDescent="0.25">
      <c r="A151">
        <v>1150</v>
      </c>
      <c r="B151" s="1" t="s">
        <v>165</v>
      </c>
      <c r="C151" t="s">
        <v>38</v>
      </c>
      <c r="D151" t="s">
        <v>33</v>
      </c>
      <c r="E151" t="s">
        <v>48</v>
      </c>
      <c r="F151" t="s">
        <v>44</v>
      </c>
      <c r="G151">
        <v>5</v>
      </c>
      <c r="H151">
        <v>5000</v>
      </c>
      <c r="I151">
        <v>25000</v>
      </c>
      <c r="J151" s="2">
        <f t="shared" si="2"/>
        <v>45433</v>
      </c>
      <c r="K151" t="str">
        <f>TEXT(Table1[[#This Row],[Order_Date]],"mmm")</f>
        <v>May</v>
      </c>
    </row>
    <row r="152" spans="1:11" x14ac:dyDescent="0.25">
      <c r="A152">
        <v>1151</v>
      </c>
      <c r="B152" s="1" t="s">
        <v>166</v>
      </c>
      <c r="C152" t="s">
        <v>15</v>
      </c>
      <c r="D152" t="s">
        <v>39</v>
      </c>
      <c r="E152" t="s">
        <v>48</v>
      </c>
      <c r="F152" t="s">
        <v>44</v>
      </c>
      <c r="G152">
        <v>1</v>
      </c>
      <c r="H152">
        <v>5000</v>
      </c>
      <c r="I152">
        <v>5000</v>
      </c>
      <c r="J152" s="2">
        <f t="shared" si="2"/>
        <v>45364</v>
      </c>
      <c r="K152" t="str">
        <f>TEXT(Table1[[#This Row],[Order_Date]],"mmm")</f>
        <v>Mar</v>
      </c>
    </row>
    <row r="153" spans="1:11" x14ac:dyDescent="0.25">
      <c r="A153">
        <v>1152</v>
      </c>
      <c r="B153" s="1" t="s">
        <v>127</v>
      </c>
      <c r="C153" t="s">
        <v>15</v>
      </c>
      <c r="D153" t="s">
        <v>16</v>
      </c>
      <c r="E153" t="s">
        <v>17</v>
      </c>
      <c r="F153" t="s">
        <v>13</v>
      </c>
      <c r="G153">
        <v>4</v>
      </c>
      <c r="H153">
        <v>3000</v>
      </c>
      <c r="I153">
        <v>12000</v>
      </c>
      <c r="J153" s="2">
        <f t="shared" si="2"/>
        <v>45387</v>
      </c>
      <c r="K153" t="str">
        <f>TEXT(Table1[[#This Row],[Order_Date]],"mmm")</f>
        <v>Apr</v>
      </c>
    </row>
    <row r="154" spans="1:11" x14ac:dyDescent="0.25">
      <c r="A154">
        <v>1153</v>
      </c>
      <c r="B154" s="1" t="s">
        <v>167</v>
      </c>
      <c r="C154" t="s">
        <v>10</v>
      </c>
      <c r="D154" t="s">
        <v>39</v>
      </c>
      <c r="E154" t="s">
        <v>21</v>
      </c>
      <c r="F154" t="s">
        <v>22</v>
      </c>
      <c r="G154">
        <v>2</v>
      </c>
      <c r="H154">
        <v>50000</v>
      </c>
      <c r="I154">
        <v>100000</v>
      </c>
      <c r="J154" s="2">
        <f t="shared" si="2"/>
        <v>45588</v>
      </c>
      <c r="K154" t="str">
        <f>TEXT(Table1[[#This Row],[Order_Date]],"mmm")</f>
        <v>Oct</v>
      </c>
    </row>
    <row r="155" spans="1:11" x14ac:dyDescent="0.25">
      <c r="A155">
        <v>1154</v>
      </c>
      <c r="B155" s="1" t="s">
        <v>37</v>
      </c>
      <c r="C155" t="s">
        <v>50</v>
      </c>
      <c r="D155" t="s">
        <v>25</v>
      </c>
      <c r="E155" t="s">
        <v>21</v>
      </c>
      <c r="F155" t="s">
        <v>22</v>
      </c>
      <c r="G155">
        <v>3</v>
      </c>
      <c r="H155">
        <v>50000</v>
      </c>
      <c r="I155">
        <v>150000</v>
      </c>
      <c r="J155" s="2">
        <f t="shared" si="2"/>
        <v>45408</v>
      </c>
      <c r="K155" t="str">
        <f>TEXT(Table1[[#This Row],[Order_Date]],"mmm")</f>
        <v>Apr</v>
      </c>
    </row>
    <row r="156" spans="1:11" x14ac:dyDescent="0.25">
      <c r="A156">
        <v>1155</v>
      </c>
      <c r="B156" s="1" t="s">
        <v>138</v>
      </c>
      <c r="C156" t="s">
        <v>19</v>
      </c>
      <c r="D156" t="s">
        <v>11</v>
      </c>
      <c r="E156" t="s">
        <v>43</v>
      </c>
      <c r="F156" t="s">
        <v>44</v>
      </c>
      <c r="G156">
        <v>1</v>
      </c>
      <c r="H156">
        <v>1500</v>
      </c>
      <c r="I156">
        <v>1500</v>
      </c>
      <c r="J156" s="2">
        <f t="shared" si="2"/>
        <v>45347</v>
      </c>
      <c r="K156" t="str">
        <f>TEXT(Table1[[#This Row],[Order_Date]],"mmm")</f>
        <v>Feb</v>
      </c>
    </row>
    <row r="157" spans="1:11" x14ac:dyDescent="0.25">
      <c r="A157">
        <v>1156</v>
      </c>
      <c r="B157" s="1" t="s">
        <v>168</v>
      </c>
      <c r="C157" t="s">
        <v>28</v>
      </c>
      <c r="D157" t="s">
        <v>47</v>
      </c>
      <c r="E157" t="s">
        <v>35</v>
      </c>
      <c r="F157" t="s">
        <v>22</v>
      </c>
      <c r="G157">
        <v>1</v>
      </c>
      <c r="H157">
        <v>20000</v>
      </c>
      <c r="I157">
        <v>20000</v>
      </c>
      <c r="J157" s="2">
        <f t="shared" si="2"/>
        <v>45530</v>
      </c>
      <c r="K157" t="str">
        <f>TEXT(Table1[[#This Row],[Order_Date]],"mmm")</f>
        <v>Aug</v>
      </c>
    </row>
    <row r="158" spans="1:11" x14ac:dyDescent="0.25">
      <c r="A158">
        <v>1157</v>
      </c>
      <c r="B158" s="1" t="s">
        <v>169</v>
      </c>
      <c r="C158" t="s">
        <v>42</v>
      </c>
      <c r="D158" t="s">
        <v>16</v>
      </c>
      <c r="E158" t="s">
        <v>12</v>
      </c>
      <c r="F158" t="s">
        <v>13</v>
      </c>
      <c r="G158">
        <v>2</v>
      </c>
      <c r="H158">
        <v>800</v>
      </c>
      <c r="I158">
        <v>1600</v>
      </c>
      <c r="J158" s="2">
        <f t="shared" si="2"/>
        <v>45528</v>
      </c>
      <c r="K158" t="str">
        <f>TEXT(Table1[[#This Row],[Order_Date]],"mmm")</f>
        <v>Aug</v>
      </c>
    </row>
    <row r="159" spans="1:11" x14ac:dyDescent="0.25">
      <c r="A159">
        <v>1158</v>
      </c>
      <c r="B159" s="1" t="s">
        <v>9</v>
      </c>
      <c r="C159" t="s">
        <v>28</v>
      </c>
      <c r="D159" t="s">
        <v>11</v>
      </c>
      <c r="E159" t="s">
        <v>12</v>
      </c>
      <c r="F159" t="s">
        <v>13</v>
      </c>
      <c r="G159">
        <v>1</v>
      </c>
      <c r="H159">
        <v>800</v>
      </c>
      <c r="I159">
        <v>800</v>
      </c>
      <c r="J159" s="2">
        <f t="shared" si="2"/>
        <v>45353</v>
      </c>
      <c r="K159" t="str">
        <f>TEXT(Table1[[#This Row],[Order_Date]],"mmm")</f>
        <v>Mar</v>
      </c>
    </row>
    <row r="160" spans="1:11" x14ac:dyDescent="0.25">
      <c r="A160">
        <v>1159</v>
      </c>
      <c r="B160" s="1" t="s">
        <v>63</v>
      </c>
      <c r="C160" t="s">
        <v>10</v>
      </c>
      <c r="D160" t="s">
        <v>25</v>
      </c>
      <c r="E160" t="s">
        <v>17</v>
      </c>
      <c r="F160" t="s">
        <v>13</v>
      </c>
      <c r="G160">
        <v>3</v>
      </c>
      <c r="H160">
        <v>3000</v>
      </c>
      <c r="I160">
        <v>9000</v>
      </c>
      <c r="J160" s="2">
        <f t="shared" si="2"/>
        <v>45459</v>
      </c>
      <c r="K160" t="str">
        <f>TEXT(Table1[[#This Row],[Order_Date]],"mmm")</f>
        <v>Jun</v>
      </c>
    </row>
    <row r="161" spans="1:11" x14ac:dyDescent="0.25">
      <c r="A161">
        <v>1160</v>
      </c>
      <c r="B161" s="1" t="s">
        <v>170</v>
      </c>
      <c r="C161" t="s">
        <v>50</v>
      </c>
      <c r="D161" t="s">
        <v>39</v>
      </c>
      <c r="E161" t="s">
        <v>35</v>
      </c>
      <c r="F161" t="s">
        <v>22</v>
      </c>
      <c r="G161">
        <v>4</v>
      </c>
      <c r="H161">
        <v>20000</v>
      </c>
      <c r="I161">
        <v>80000</v>
      </c>
      <c r="J161" s="2">
        <f t="shared" si="2"/>
        <v>45593</v>
      </c>
      <c r="K161" t="str">
        <f>TEXT(Table1[[#This Row],[Order_Date]],"mmm")</f>
        <v>Oct</v>
      </c>
    </row>
    <row r="162" spans="1:11" x14ac:dyDescent="0.25">
      <c r="A162">
        <v>1161</v>
      </c>
      <c r="B162" s="1" t="s">
        <v>171</v>
      </c>
      <c r="C162" t="s">
        <v>32</v>
      </c>
      <c r="D162" t="s">
        <v>16</v>
      </c>
      <c r="E162" t="s">
        <v>21</v>
      </c>
      <c r="F162" t="s">
        <v>22</v>
      </c>
      <c r="G162">
        <v>1</v>
      </c>
      <c r="H162">
        <v>50000</v>
      </c>
      <c r="I162">
        <v>50000</v>
      </c>
      <c r="J162" s="2">
        <f t="shared" si="2"/>
        <v>45609</v>
      </c>
      <c r="K162" t="str">
        <f>TEXT(Table1[[#This Row],[Order_Date]],"mmm")</f>
        <v>Nov</v>
      </c>
    </row>
    <row r="163" spans="1:11" x14ac:dyDescent="0.25">
      <c r="A163">
        <v>1162</v>
      </c>
      <c r="B163" s="1" t="s">
        <v>122</v>
      </c>
      <c r="C163" t="s">
        <v>38</v>
      </c>
      <c r="D163" t="s">
        <v>39</v>
      </c>
      <c r="E163" t="s">
        <v>21</v>
      </c>
      <c r="F163" t="s">
        <v>22</v>
      </c>
      <c r="G163">
        <v>1</v>
      </c>
      <c r="H163">
        <v>50000</v>
      </c>
      <c r="I163">
        <v>50000</v>
      </c>
      <c r="J163" s="2">
        <f t="shared" si="2"/>
        <v>45498</v>
      </c>
      <c r="K163" t="str">
        <f>TEXT(Table1[[#This Row],[Order_Date]],"mmm")</f>
        <v>Jul</v>
      </c>
    </row>
    <row r="164" spans="1:11" x14ac:dyDescent="0.25">
      <c r="A164">
        <v>1163</v>
      </c>
      <c r="B164" s="1" t="s">
        <v>41</v>
      </c>
      <c r="C164" t="s">
        <v>53</v>
      </c>
      <c r="D164" t="s">
        <v>47</v>
      </c>
      <c r="E164" t="s">
        <v>48</v>
      </c>
      <c r="F164" t="s">
        <v>44</v>
      </c>
      <c r="G164">
        <v>3</v>
      </c>
      <c r="H164">
        <v>5000</v>
      </c>
      <c r="I164">
        <v>15000</v>
      </c>
      <c r="J164" s="2">
        <f t="shared" si="2"/>
        <v>45425</v>
      </c>
      <c r="K164" t="str">
        <f>TEXT(Table1[[#This Row],[Order_Date]],"mmm")</f>
        <v>May</v>
      </c>
    </row>
    <row r="165" spans="1:11" x14ac:dyDescent="0.25">
      <c r="A165">
        <v>1164</v>
      </c>
      <c r="B165" s="1" t="s">
        <v>172</v>
      </c>
      <c r="C165" t="s">
        <v>19</v>
      </c>
      <c r="D165" t="s">
        <v>33</v>
      </c>
      <c r="E165" t="s">
        <v>21</v>
      </c>
      <c r="F165" t="s">
        <v>22</v>
      </c>
      <c r="G165">
        <v>4</v>
      </c>
      <c r="H165">
        <v>50000</v>
      </c>
      <c r="I165">
        <v>200000</v>
      </c>
      <c r="J165" s="2">
        <f t="shared" si="2"/>
        <v>45578</v>
      </c>
      <c r="K165" t="str">
        <f>TEXT(Table1[[#This Row],[Order_Date]],"mmm")</f>
        <v>Oct</v>
      </c>
    </row>
    <row r="166" spans="1:11" x14ac:dyDescent="0.25">
      <c r="A166">
        <v>1165</v>
      </c>
      <c r="B166" s="1" t="s">
        <v>173</v>
      </c>
      <c r="C166" t="s">
        <v>53</v>
      </c>
      <c r="D166" t="s">
        <v>39</v>
      </c>
      <c r="E166" t="s">
        <v>17</v>
      </c>
      <c r="F166" t="s">
        <v>13</v>
      </c>
      <c r="G166">
        <v>2</v>
      </c>
      <c r="H166">
        <v>3000</v>
      </c>
      <c r="I166">
        <v>6000</v>
      </c>
      <c r="J166" s="2">
        <f t="shared" si="2"/>
        <v>45314</v>
      </c>
      <c r="K166" t="str">
        <f>TEXT(Table1[[#This Row],[Order_Date]],"mmm")</f>
        <v>Jan</v>
      </c>
    </row>
    <row r="167" spans="1:11" x14ac:dyDescent="0.25">
      <c r="A167">
        <v>1166</v>
      </c>
      <c r="B167" s="1" t="s">
        <v>174</v>
      </c>
      <c r="C167" t="s">
        <v>57</v>
      </c>
      <c r="D167" t="s">
        <v>16</v>
      </c>
      <c r="E167" t="s">
        <v>17</v>
      </c>
      <c r="F167" t="s">
        <v>13</v>
      </c>
      <c r="G167">
        <v>4</v>
      </c>
      <c r="H167">
        <v>3000</v>
      </c>
      <c r="I167">
        <v>12000</v>
      </c>
      <c r="J167" s="2">
        <f t="shared" si="2"/>
        <v>45485</v>
      </c>
      <c r="K167" t="str">
        <f>TEXT(Table1[[#This Row],[Order_Date]],"mmm")</f>
        <v>Jul</v>
      </c>
    </row>
    <row r="168" spans="1:11" x14ac:dyDescent="0.25">
      <c r="A168">
        <v>1167</v>
      </c>
      <c r="B168" s="1" t="s">
        <v>151</v>
      </c>
      <c r="C168" t="s">
        <v>50</v>
      </c>
      <c r="D168" t="s">
        <v>33</v>
      </c>
      <c r="E168" t="s">
        <v>26</v>
      </c>
      <c r="F168" t="s">
        <v>22</v>
      </c>
      <c r="G168">
        <v>2</v>
      </c>
      <c r="H168">
        <v>2500</v>
      </c>
      <c r="I168">
        <v>5000</v>
      </c>
      <c r="J168" s="2">
        <f t="shared" si="2"/>
        <v>45477</v>
      </c>
      <c r="K168" t="str">
        <f>TEXT(Table1[[#This Row],[Order_Date]],"mmm")</f>
        <v>Jul</v>
      </c>
    </row>
    <row r="169" spans="1:11" x14ac:dyDescent="0.25">
      <c r="A169">
        <v>1168</v>
      </c>
      <c r="B169" s="1" t="s">
        <v>163</v>
      </c>
      <c r="C169" t="s">
        <v>50</v>
      </c>
      <c r="D169" t="s">
        <v>16</v>
      </c>
      <c r="E169" t="s">
        <v>35</v>
      </c>
      <c r="F169" t="s">
        <v>22</v>
      </c>
      <c r="G169">
        <v>5</v>
      </c>
      <c r="H169">
        <v>20000</v>
      </c>
      <c r="I169">
        <v>100000</v>
      </c>
      <c r="J169" s="2">
        <f t="shared" si="2"/>
        <v>45532</v>
      </c>
      <c r="K169" t="str">
        <f>TEXT(Table1[[#This Row],[Order_Date]],"mmm")</f>
        <v>Aug</v>
      </c>
    </row>
    <row r="170" spans="1:11" x14ac:dyDescent="0.25">
      <c r="A170">
        <v>1169</v>
      </c>
      <c r="B170" s="1" t="s">
        <v>175</v>
      </c>
      <c r="C170" t="s">
        <v>38</v>
      </c>
      <c r="D170" t="s">
        <v>20</v>
      </c>
      <c r="E170" t="s">
        <v>48</v>
      </c>
      <c r="F170" t="s">
        <v>44</v>
      </c>
      <c r="G170">
        <v>5</v>
      </c>
      <c r="H170">
        <v>5000</v>
      </c>
      <c r="I170">
        <v>25000</v>
      </c>
      <c r="J170" s="2">
        <f t="shared" si="2"/>
        <v>45399</v>
      </c>
      <c r="K170" t="str">
        <f>TEXT(Table1[[#This Row],[Order_Date]],"mmm")</f>
        <v>Apr</v>
      </c>
    </row>
    <row r="171" spans="1:11" x14ac:dyDescent="0.25">
      <c r="A171">
        <v>1170</v>
      </c>
      <c r="B171" s="1" t="s">
        <v>147</v>
      </c>
      <c r="C171" t="s">
        <v>57</v>
      </c>
      <c r="D171" t="s">
        <v>47</v>
      </c>
      <c r="E171" t="s">
        <v>21</v>
      </c>
      <c r="F171" t="s">
        <v>22</v>
      </c>
      <c r="G171">
        <v>1</v>
      </c>
      <c r="H171">
        <v>50000</v>
      </c>
      <c r="I171">
        <v>50000</v>
      </c>
      <c r="J171" s="2">
        <f t="shared" si="2"/>
        <v>45615</v>
      </c>
      <c r="K171" t="str">
        <f>TEXT(Table1[[#This Row],[Order_Date]],"mmm")</f>
        <v>Nov</v>
      </c>
    </row>
    <row r="172" spans="1:11" x14ac:dyDescent="0.25">
      <c r="A172">
        <v>1171</v>
      </c>
      <c r="B172" s="1" t="s">
        <v>150</v>
      </c>
      <c r="C172" t="s">
        <v>30</v>
      </c>
      <c r="D172" t="s">
        <v>20</v>
      </c>
      <c r="E172" t="s">
        <v>43</v>
      </c>
      <c r="F172" t="s">
        <v>44</v>
      </c>
      <c r="G172">
        <v>5</v>
      </c>
      <c r="H172">
        <v>1500</v>
      </c>
      <c r="I172">
        <v>7500</v>
      </c>
      <c r="J172" s="2">
        <f t="shared" si="2"/>
        <v>45368</v>
      </c>
      <c r="K172" t="str">
        <f>TEXT(Table1[[#This Row],[Order_Date]],"mmm")</f>
        <v>Mar</v>
      </c>
    </row>
    <row r="173" spans="1:11" x14ac:dyDescent="0.25">
      <c r="A173">
        <v>1172</v>
      </c>
      <c r="B173" s="1" t="s">
        <v>94</v>
      </c>
      <c r="C173" t="s">
        <v>42</v>
      </c>
      <c r="D173" t="s">
        <v>25</v>
      </c>
      <c r="E173" t="s">
        <v>48</v>
      </c>
      <c r="F173" t="s">
        <v>44</v>
      </c>
      <c r="G173">
        <v>1</v>
      </c>
      <c r="H173">
        <v>5000</v>
      </c>
      <c r="I173">
        <v>5000</v>
      </c>
      <c r="J173" s="2">
        <f t="shared" si="2"/>
        <v>45553</v>
      </c>
      <c r="K173" t="str">
        <f>TEXT(Table1[[#This Row],[Order_Date]],"mmm")</f>
        <v>Sep</v>
      </c>
    </row>
    <row r="174" spans="1:11" x14ac:dyDescent="0.25">
      <c r="A174">
        <v>1173</v>
      </c>
      <c r="B174" s="1" t="s">
        <v>139</v>
      </c>
      <c r="C174" t="s">
        <v>10</v>
      </c>
      <c r="D174" t="s">
        <v>11</v>
      </c>
      <c r="E174" t="s">
        <v>48</v>
      </c>
      <c r="F174" t="s">
        <v>44</v>
      </c>
      <c r="G174">
        <v>2</v>
      </c>
      <c r="H174">
        <v>5000</v>
      </c>
      <c r="I174">
        <v>10000</v>
      </c>
      <c r="J174" s="2">
        <f t="shared" si="2"/>
        <v>45475</v>
      </c>
      <c r="K174" t="str">
        <f>TEXT(Table1[[#This Row],[Order_Date]],"mmm")</f>
        <v>Jul</v>
      </c>
    </row>
    <row r="175" spans="1:11" x14ac:dyDescent="0.25">
      <c r="A175">
        <v>1174</v>
      </c>
      <c r="B175" s="1" t="s">
        <v>142</v>
      </c>
      <c r="C175" t="s">
        <v>53</v>
      </c>
      <c r="D175" t="s">
        <v>11</v>
      </c>
      <c r="E175" t="s">
        <v>17</v>
      </c>
      <c r="F175" t="s">
        <v>13</v>
      </c>
      <c r="G175">
        <v>4</v>
      </c>
      <c r="H175">
        <v>3000</v>
      </c>
      <c r="I175">
        <v>12000</v>
      </c>
      <c r="J175" s="2">
        <f t="shared" si="2"/>
        <v>45547</v>
      </c>
      <c r="K175" t="str">
        <f>TEXT(Table1[[#This Row],[Order_Date]],"mmm")</f>
        <v>Sep</v>
      </c>
    </row>
    <row r="176" spans="1:11" x14ac:dyDescent="0.25">
      <c r="A176">
        <v>1175</v>
      </c>
      <c r="B176" s="1" t="s">
        <v>124</v>
      </c>
      <c r="C176" t="s">
        <v>10</v>
      </c>
      <c r="D176" t="s">
        <v>47</v>
      </c>
      <c r="E176" t="s">
        <v>48</v>
      </c>
      <c r="F176" t="s">
        <v>44</v>
      </c>
      <c r="G176">
        <v>3</v>
      </c>
      <c r="H176">
        <v>5000</v>
      </c>
      <c r="I176">
        <v>15000</v>
      </c>
      <c r="J176" s="2">
        <f t="shared" si="2"/>
        <v>45302</v>
      </c>
      <c r="K176" t="str">
        <f>TEXT(Table1[[#This Row],[Order_Date]],"mmm")</f>
        <v>Jan</v>
      </c>
    </row>
    <row r="177" spans="1:11" x14ac:dyDescent="0.25">
      <c r="A177">
        <v>1176</v>
      </c>
      <c r="B177" s="1" t="s">
        <v>176</v>
      </c>
      <c r="C177" t="s">
        <v>28</v>
      </c>
      <c r="D177" t="s">
        <v>20</v>
      </c>
      <c r="E177" t="s">
        <v>51</v>
      </c>
      <c r="F177" t="s">
        <v>13</v>
      </c>
      <c r="G177">
        <v>3</v>
      </c>
      <c r="H177">
        <v>2000</v>
      </c>
      <c r="I177">
        <v>6000</v>
      </c>
      <c r="J177" s="2">
        <f t="shared" si="2"/>
        <v>45324</v>
      </c>
      <c r="K177" t="str">
        <f>TEXT(Table1[[#This Row],[Order_Date]],"mmm")</f>
        <v>Feb</v>
      </c>
    </row>
    <row r="178" spans="1:11" x14ac:dyDescent="0.25">
      <c r="A178">
        <v>1177</v>
      </c>
      <c r="B178" s="1" t="s">
        <v>177</v>
      </c>
      <c r="C178" t="s">
        <v>53</v>
      </c>
      <c r="D178" t="s">
        <v>39</v>
      </c>
      <c r="E178" t="s">
        <v>12</v>
      </c>
      <c r="F178" t="s">
        <v>13</v>
      </c>
      <c r="G178">
        <v>2</v>
      </c>
      <c r="H178">
        <v>800</v>
      </c>
      <c r="I178">
        <v>1600</v>
      </c>
      <c r="J178" s="2">
        <f t="shared" si="2"/>
        <v>45622</v>
      </c>
      <c r="K178" t="str">
        <f>TEXT(Table1[[#This Row],[Order_Date]],"mmm")</f>
        <v>Nov</v>
      </c>
    </row>
    <row r="179" spans="1:11" x14ac:dyDescent="0.25">
      <c r="A179">
        <v>1178</v>
      </c>
      <c r="B179" s="1" t="s">
        <v>178</v>
      </c>
      <c r="C179" t="s">
        <v>57</v>
      </c>
      <c r="D179" t="s">
        <v>20</v>
      </c>
      <c r="E179" t="s">
        <v>35</v>
      </c>
      <c r="F179" t="s">
        <v>22</v>
      </c>
      <c r="G179">
        <v>4</v>
      </c>
      <c r="H179">
        <v>20000</v>
      </c>
      <c r="I179">
        <v>80000</v>
      </c>
      <c r="J179" s="2">
        <f t="shared" si="2"/>
        <v>45613</v>
      </c>
      <c r="K179" t="str">
        <f>TEXT(Table1[[#This Row],[Order_Date]],"mmm")</f>
        <v>Nov</v>
      </c>
    </row>
    <row r="180" spans="1:11" x14ac:dyDescent="0.25">
      <c r="A180">
        <v>1179</v>
      </c>
      <c r="B180" s="1" t="s">
        <v>179</v>
      </c>
      <c r="C180" t="s">
        <v>30</v>
      </c>
      <c r="D180" t="s">
        <v>11</v>
      </c>
      <c r="E180" t="s">
        <v>12</v>
      </c>
      <c r="F180" t="s">
        <v>13</v>
      </c>
      <c r="G180">
        <v>5</v>
      </c>
      <c r="H180">
        <v>800</v>
      </c>
      <c r="I180">
        <v>4000</v>
      </c>
      <c r="J180" s="2">
        <f t="shared" si="2"/>
        <v>45424</v>
      </c>
      <c r="K180" t="str">
        <f>TEXT(Table1[[#This Row],[Order_Date]],"mmm")</f>
        <v>May</v>
      </c>
    </row>
    <row r="181" spans="1:11" x14ac:dyDescent="0.25">
      <c r="A181">
        <v>1180</v>
      </c>
      <c r="B181" s="1" t="s">
        <v>27</v>
      </c>
      <c r="C181" t="s">
        <v>30</v>
      </c>
      <c r="D181" t="s">
        <v>25</v>
      </c>
      <c r="E181" t="s">
        <v>21</v>
      </c>
      <c r="F181" t="s">
        <v>22</v>
      </c>
      <c r="G181">
        <v>2</v>
      </c>
      <c r="H181">
        <v>50000</v>
      </c>
      <c r="I181">
        <v>100000</v>
      </c>
      <c r="J181" s="2">
        <f t="shared" si="2"/>
        <v>45465</v>
      </c>
      <c r="K181" t="str">
        <f>TEXT(Table1[[#This Row],[Order_Date]],"mmm")</f>
        <v>Jun</v>
      </c>
    </row>
    <row r="182" spans="1:11" x14ac:dyDescent="0.25">
      <c r="A182">
        <v>1181</v>
      </c>
      <c r="B182" s="1" t="s">
        <v>180</v>
      </c>
      <c r="C182" t="s">
        <v>24</v>
      </c>
      <c r="D182" t="s">
        <v>16</v>
      </c>
      <c r="E182" t="s">
        <v>12</v>
      </c>
      <c r="F182" t="s">
        <v>13</v>
      </c>
      <c r="G182">
        <v>4</v>
      </c>
      <c r="H182">
        <v>800</v>
      </c>
      <c r="I182">
        <v>3200</v>
      </c>
      <c r="J182" s="2">
        <f t="shared" si="2"/>
        <v>45318</v>
      </c>
      <c r="K182" t="str">
        <f>TEXT(Table1[[#This Row],[Order_Date]],"mmm")</f>
        <v>Jan</v>
      </c>
    </row>
    <row r="183" spans="1:11" x14ac:dyDescent="0.25">
      <c r="A183">
        <v>1182</v>
      </c>
      <c r="B183" s="1" t="s">
        <v>181</v>
      </c>
      <c r="C183" t="s">
        <v>53</v>
      </c>
      <c r="D183" t="s">
        <v>20</v>
      </c>
      <c r="E183" t="s">
        <v>51</v>
      </c>
      <c r="F183" t="s">
        <v>13</v>
      </c>
      <c r="G183">
        <v>3</v>
      </c>
      <c r="H183">
        <v>2000</v>
      </c>
      <c r="I183">
        <v>6000</v>
      </c>
      <c r="J183" s="2">
        <f t="shared" si="2"/>
        <v>45455</v>
      </c>
      <c r="K183" t="str">
        <f>TEXT(Table1[[#This Row],[Order_Date]],"mmm")</f>
        <v>Jun</v>
      </c>
    </row>
    <row r="184" spans="1:11" x14ac:dyDescent="0.25">
      <c r="A184">
        <v>1183</v>
      </c>
      <c r="B184" s="1" t="s">
        <v>152</v>
      </c>
      <c r="C184" t="s">
        <v>50</v>
      </c>
      <c r="D184" t="s">
        <v>25</v>
      </c>
      <c r="E184" t="s">
        <v>35</v>
      </c>
      <c r="F184" t="s">
        <v>22</v>
      </c>
      <c r="G184">
        <v>3</v>
      </c>
      <c r="H184">
        <v>20000</v>
      </c>
      <c r="I184">
        <v>60000</v>
      </c>
      <c r="J184" s="2">
        <f t="shared" si="2"/>
        <v>45630</v>
      </c>
      <c r="K184" t="str">
        <f>TEXT(Table1[[#This Row],[Order_Date]],"mmm")</f>
        <v>Dec</v>
      </c>
    </row>
    <row r="185" spans="1:11" x14ac:dyDescent="0.25">
      <c r="A185">
        <v>1184</v>
      </c>
      <c r="B185" s="1" t="s">
        <v>136</v>
      </c>
      <c r="C185" t="s">
        <v>30</v>
      </c>
      <c r="D185" t="s">
        <v>11</v>
      </c>
      <c r="E185" t="s">
        <v>21</v>
      </c>
      <c r="F185" t="s">
        <v>22</v>
      </c>
      <c r="G185">
        <v>2</v>
      </c>
      <c r="H185">
        <v>50000</v>
      </c>
      <c r="I185">
        <v>100000</v>
      </c>
      <c r="J185" s="2">
        <f t="shared" si="2"/>
        <v>45495</v>
      </c>
      <c r="K185" t="str">
        <f>TEXT(Table1[[#This Row],[Order_Date]],"mmm")</f>
        <v>Jul</v>
      </c>
    </row>
    <row r="186" spans="1:11" x14ac:dyDescent="0.25">
      <c r="A186">
        <v>1185</v>
      </c>
      <c r="B186" s="1" t="s">
        <v>182</v>
      </c>
      <c r="C186" t="s">
        <v>19</v>
      </c>
      <c r="D186" t="s">
        <v>39</v>
      </c>
      <c r="E186" t="s">
        <v>43</v>
      </c>
      <c r="F186" t="s">
        <v>44</v>
      </c>
      <c r="G186">
        <v>5</v>
      </c>
      <c r="H186">
        <v>1500</v>
      </c>
      <c r="I186">
        <v>7500</v>
      </c>
      <c r="J186" s="2">
        <f t="shared" si="2"/>
        <v>45551</v>
      </c>
      <c r="K186" t="str">
        <f>TEXT(Table1[[#This Row],[Order_Date]],"mmm")</f>
        <v>Sep</v>
      </c>
    </row>
    <row r="187" spans="1:11" x14ac:dyDescent="0.25">
      <c r="A187">
        <v>1186</v>
      </c>
      <c r="B187" s="1" t="s">
        <v>52</v>
      </c>
      <c r="C187" t="s">
        <v>50</v>
      </c>
      <c r="D187" t="s">
        <v>33</v>
      </c>
      <c r="E187" t="s">
        <v>26</v>
      </c>
      <c r="F187" t="s">
        <v>22</v>
      </c>
      <c r="G187">
        <v>2</v>
      </c>
      <c r="H187">
        <v>2500</v>
      </c>
      <c r="I187">
        <v>5000</v>
      </c>
      <c r="J187" s="2">
        <f t="shared" si="2"/>
        <v>45394</v>
      </c>
      <c r="K187" t="str">
        <f>TEXT(Table1[[#This Row],[Order_Date]],"mmm")</f>
        <v>Apr</v>
      </c>
    </row>
    <row r="188" spans="1:11" x14ac:dyDescent="0.25">
      <c r="A188">
        <v>1187</v>
      </c>
      <c r="B188" s="1" t="s">
        <v>183</v>
      </c>
      <c r="C188" t="s">
        <v>38</v>
      </c>
      <c r="D188" t="s">
        <v>47</v>
      </c>
      <c r="E188" t="s">
        <v>48</v>
      </c>
      <c r="F188" t="s">
        <v>44</v>
      </c>
      <c r="G188">
        <v>3</v>
      </c>
      <c r="H188">
        <v>5000</v>
      </c>
      <c r="I188">
        <v>15000</v>
      </c>
      <c r="J188" s="2">
        <f t="shared" si="2"/>
        <v>45462</v>
      </c>
      <c r="K188" t="str">
        <f>TEXT(Table1[[#This Row],[Order_Date]],"mmm")</f>
        <v>Jun</v>
      </c>
    </row>
    <row r="189" spans="1:11" x14ac:dyDescent="0.25">
      <c r="A189">
        <v>1188</v>
      </c>
      <c r="B189" s="1" t="s">
        <v>184</v>
      </c>
      <c r="C189" t="s">
        <v>30</v>
      </c>
      <c r="D189" t="s">
        <v>11</v>
      </c>
      <c r="E189" t="s">
        <v>51</v>
      </c>
      <c r="F189" t="s">
        <v>13</v>
      </c>
      <c r="G189">
        <v>2</v>
      </c>
      <c r="H189">
        <v>2000</v>
      </c>
      <c r="I189">
        <v>4000</v>
      </c>
      <c r="J189" s="2">
        <f t="shared" si="2"/>
        <v>45435</v>
      </c>
      <c r="K189" t="str">
        <f>TEXT(Table1[[#This Row],[Order_Date]],"mmm")</f>
        <v>May</v>
      </c>
    </row>
    <row r="190" spans="1:11" x14ac:dyDescent="0.25">
      <c r="A190">
        <v>1189</v>
      </c>
      <c r="B190" s="1" t="s">
        <v>185</v>
      </c>
      <c r="C190" t="s">
        <v>32</v>
      </c>
      <c r="D190" t="s">
        <v>16</v>
      </c>
      <c r="E190" t="s">
        <v>17</v>
      </c>
      <c r="F190" t="s">
        <v>13</v>
      </c>
      <c r="G190">
        <v>5</v>
      </c>
      <c r="H190">
        <v>3000</v>
      </c>
      <c r="I190">
        <v>15000</v>
      </c>
      <c r="J190" s="2">
        <f t="shared" si="2"/>
        <v>45546</v>
      </c>
      <c r="K190" t="str">
        <f>TEXT(Table1[[#This Row],[Order_Date]],"mmm")</f>
        <v>Sep</v>
      </c>
    </row>
    <row r="191" spans="1:11" x14ac:dyDescent="0.25">
      <c r="A191">
        <v>1190</v>
      </c>
      <c r="B191" s="1" t="s">
        <v>186</v>
      </c>
      <c r="C191" t="s">
        <v>30</v>
      </c>
      <c r="D191" t="s">
        <v>47</v>
      </c>
      <c r="E191" t="s">
        <v>17</v>
      </c>
      <c r="F191" t="s">
        <v>13</v>
      </c>
      <c r="G191">
        <v>5</v>
      </c>
      <c r="H191">
        <v>3000</v>
      </c>
      <c r="I191">
        <v>15000</v>
      </c>
      <c r="J191" s="2">
        <f t="shared" si="2"/>
        <v>45416</v>
      </c>
      <c r="K191" t="str">
        <f>TEXT(Table1[[#This Row],[Order_Date]],"mmm")</f>
        <v>May</v>
      </c>
    </row>
    <row r="192" spans="1:11" x14ac:dyDescent="0.25">
      <c r="A192">
        <v>1191</v>
      </c>
      <c r="B192" s="1" t="s">
        <v>49</v>
      </c>
      <c r="C192" t="s">
        <v>24</v>
      </c>
      <c r="D192" t="s">
        <v>47</v>
      </c>
      <c r="E192" t="s">
        <v>48</v>
      </c>
      <c r="F192" t="s">
        <v>44</v>
      </c>
      <c r="G192">
        <v>4</v>
      </c>
      <c r="H192">
        <v>5000</v>
      </c>
      <c r="I192">
        <v>20000</v>
      </c>
      <c r="J192" s="2">
        <f t="shared" si="2"/>
        <v>45505</v>
      </c>
      <c r="K192" t="str">
        <f>TEXT(Table1[[#This Row],[Order_Date]],"mmm")</f>
        <v>Aug</v>
      </c>
    </row>
    <row r="193" spans="1:11" x14ac:dyDescent="0.25">
      <c r="A193">
        <v>1192</v>
      </c>
      <c r="B193" s="1" t="s">
        <v>187</v>
      </c>
      <c r="C193" t="s">
        <v>15</v>
      </c>
      <c r="D193" t="s">
        <v>47</v>
      </c>
      <c r="E193" t="s">
        <v>51</v>
      </c>
      <c r="F193" t="s">
        <v>13</v>
      </c>
      <c r="G193">
        <v>5</v>
      </c>
      <c r="H193">
        <v>2000</v>
      </c>
      <c r="I193">
        <v>10000</v>
      </c>
      <c r="J193" s="2">
        <f t="shared" si="2"/>
        <v>45429</v>
      </c>
      <c r="K193" t="str">
        <f>TEXT(Table1[[#This Row],[Order_Date]],"mmm")</f>
        <v>May</v>
      </c>
    </row>
    <row r="194" spans="1:11" x14ac:dyDescent="0.25">
      <c r="A194">
        <v>1193</v>
      </c>
      <c r="B194" s="1" t="s">
        <v>188</v>
      </c>
      <c r="C194" t="s">
        <v>53</v>
      </c>
      <c r="D194" t="s">
        <v>33</v>
      </c>
      <c r="E194" t="s">
        <v>21</v>
      </c>
      <c r="F194" t="s">
        <v>22</v>
      </c>
      <c r="G194">
        <v>4</v>
      </c>
      <c r="H194">
        <v>50000</v>
      </c>
      <c r="I194">
        <v>200000</v>
      </c>
      <c r="J194" s="2">
        <f t="shared" ref="J194:J257" si="3">DATE(RIGHT(B194,4), MID(B194,4,2), LEFT(B194,2))</f>
        <v>45470</v>
      </c>
      <c r="K194" t="str">
        <f>TEXT(Table1[[#This Row],[Order_Date]],"mmm")</f>
        <v>Jun</v>
      </c>
    </row>
    <row r="195" spans="1:11" x14ac:dyDescent="0.25">
      <c r="A195">
        <v>1194</v>
      </c>
      <c r="B195" s="1" t="s">
        <v>189</v>
      </c>
      <c r="C195" t="s">
        <v>42</v>
      </c>
      <c r="D195" t="s">
        <v>47</v>
      </c>
      <c r="E195" t="s">
        <v>12</v>
      </c>
      <c r="F195" t="s">
        <v>13</v>
      </c>
      <c r="G195">
        <v>4</v>
      </c>
      <c r="H195">
        <v>800</v>
      </c>
      <c r="I195">
        <v>3200</v>
      </c>
      <c r="J195" s="2">
        <f t="shared" si="3"/>
        <v>45328</v>
      </c>
      <c r="K195" t="str">
        <f>TEXT(Table1[[#This Row],[Order_Date]],"mmm")</f>
        <v>Feb</v>
      </c>
    </row>
    <row r="196" spans="1:11" x14ac:dyDescent="0.25">
      <c r="A196">
        <v>1195</v>
      </c>
      <c r="B196" s="1" t="s">
        <v>136</v>
      </c>
      <c r="C196" t="s">
        <v>10</v>
      </c>
      <c r="D196" t="s">
        <v>20</v>
      </c>
      <c r="E196" t="s">
        <v>17</v>
      </c>
      <c r="F196" t="s">
        <v>13</v>
      </c>
      <c r="G196">
        <v>1</v>
      </c>
      <c r="H196">
        <v>3000</v>
      </c>
      <c r="I196">
        <v>3000</v>
      </c>
      <c r="J196" s="2">
        <f t="shared" si="3"/>
        <v>45495</v>
      </c>
      <c r="K196" t="str">
        <f>TEXT(Table1[[#This Row],[Order_Date]],"mmm")</f>
        <v>Jul</v>
      </c>
    </row>
    <row r="197" spans="1:11" x14ac:dyDescent="0.25">
      <c r="A197">
        <v>1196</v>
      </c>
      <c r="B197" s="1" t="s">
        <v>124</v>
      </c>
      <c r="C197" t="s">
        <v>28</v>
      </c>
      <c r="D197" t="s">
        <v>39</v>
      </c>
      <c r="E197" t="s">
        <v>51</v>
      </c>
      <c r="F197" t="s">
        <v>13</v>
      </c>
      <c r="G197">
        <v>3</v>
      </c>
      <c r="H197">
        <v>2000</v>
      </c>
      <c r="I197">
        <v>6000</v>
      </c>
      <c r="J197" s="2">
        <f t="shared" si="3"/>
        <v>45302</v>
      </c>
      <c r="K197" t="str">
        <f>TEXT(Table1[[#This Row],[Order_Date]],"mmm")</f>
        <v>Jan</v>
      </c>
    </row>
    <row r="198" spans="1:11" x14ac:dyDescent="0.25">
      <c r="A198">
        <v>1197</v>
      </c>
      <c r="B198" s="1" t="s">
        <v>31</v>
      </c>
      <c r="C198" t="s">
        <v>15</v>
      </c>
      <c r="D198" t="s">
        <v>33</v>
      </c>
      <c r="E198" t="s">
        <v>48</v>
      </c>
      <c r="F198" t="s">
        <v>44</v>
      </c>
      <c r="G198">
        <v>2</v>
      </c>
      <c r="H198">
        <v>5000</v>
      </c>
      <c r="I198">
        <v>10000</v>
      </c>
      <c r="J198" s="2">
        <f t="shared" si="3"/>
        <v>45486</v>
      </c>
      <c r="K198" t="str">
        <f>TEXT(Table1[[#This Row],[Order_Date]],"mmm")</f>
        <v>Jul</v>
      </c>
    </row>
    <row r="199" spans="1:11" x14ac:dyDescent="0.25">
      <c r="A199">
        <v>1198</v>
      </c>
      <c r="B199" s="1" t="s">
        <v>190</v>
      </c>
      <c r="C199" t="s">
        <v>19</v>
      </c>
      <c r="D199" t="s">
        <v>20</v>
      </c>
      <c r="E199" t="s">
        <v>26</v>
      </c>
      <c r="F199" t="s">
        <v>22</v>
      </c>
      <c r="G199">
        <v>5</v>
      </c>
      <c r="H199">
        <v>2500</v>
      </c>
      <c r="I199">
        <v>12500</v>
      </c>
      <c r="J199" s="2">
        <f t="shared" si="3"/>
        <v>45344</v>
      </c>
      <c r="K199" t="str">
        <f>TEXT(Table1[[#This Row],[Order_Date]],"mmm")</f>
        <v>Feb</v>
      </c>
    </row>
    <row r="200" spans="1:11" x14ac:dyDescent="0.25">
      <c r="A200">
        <v>1199</v>
      </c>
      <c r="B200" s="1" t="s">
        <v>83</v>
      </c>
      <c r="C200" t="s">
        <v>24</v>
      </c>
      <c r="D200" t="s">
        <v>11</v>
      </c>
      <c r="E200" t="s">
        <v>35</v>
      </c>
      <c r="F200" t="s">
        <v>22</v>
      </c>
      <c r="G200">
        <v>1</v>
      </c>
      <c r="H200">
        <v>20000</v>
      </c>
      <c r="I200">
        <v>20000</v>
      </c>
      <c r="J200" s="2">
        <f t="shared" si="3"/>
        <v>45601</v>
      </c>
      <c r="K200" t="str">
        <f>TEXT(Table1[[#This Row],[Order_Date]],"mmm")</f>
        <v>Nov</v>
      </c>
    </row>
    <row r="201" spans="1:11" x14ac:dyDescent="0.25">
      <c r="A201">
        <v>1200</v>
      </c>
      <c r="B201" s="1" t="s">
        <v>186</v>
      </c>
      <c r="C201" t="s">
        <v>50</v>
      </c>
      <c r="D201" t="s">
        <v>25</v>
      </c>
      <c r="E201" t="s">
        <v>48</v>
      </c>
      <c r="F201" t="s">
        <v>44</v>
      </c>
      <c r="G201">
        <v>3</v>
      </c>
      <c r="H201">
        <v>5000</v>
      </c>
      <c r="I201">
        <v>15000</v>
      </c>
      <c r="J201" s="2">
        <f t="shared" si="3"/>
        <v>45416</v>
      </c>
      <c r="K201" t="str">
        <f>TEXT(Table1[[#This Row],[Order_Date]],"mmm")</f>
        <v>May</v>
      </c>
    </row>
    <row r="202" spans="1:11" x14ac:dyDescent="0.25">
      <c r="A202">
        <v>1201</v>
      </c>
      <c r="B202" s="1" t="s">
        <v>191</v>
      </c>
      <c r="C202" t="s">
        <v>42</v>
      </c>
      <c r="D202" t="s">
        <v>47</v>
      </c>
      <c r="E202" t="s">
        <v>21</v>
      </c>
      <c r="F202" t="s">
        <v>22</v>
      </c>
      <c r="G202">
        <v>3</v>
      </c>
      <c r="H202">
        <v>50000</v>
      </c>
      <c r="I202">
        <v>150000</v>
      </c>
      <c r="J202" s="2">
        <f t="shared" si="3"/>
        <v>45591</v>
      </c>
      <c r="K202" t="str">
        <f>TEXT(Table1[[#This Row],[Order_Date]],"mmm")</f>
        <v>Oct</v>
      </c>
    </row>
    <row r="203" spans="1:11" x14ac:dyDescent="0.25">
      <c r="A203">
        <v>1202</v>
      </c>
      <c r="B203" s="1" t="s">
        <v>192</v>
      </c>
      <c r="C203" t="s">
        <v>57</v>
      </c>
      <c r="D203" t="s">
        <v>11</v>
      </c>
      <c r="E203" t="s">
        <v>26</v>
      </c>
      <c r="F203" t="s">
        <v>22</v>
      </c>
      <c r="G203">
        <v>5</v>
      </c>
      <c r="H203">
        <v>2500</v>
      </c>
      <c r="I203">
        <v>12500</v>
      </c>
      <c r="J203" s="2">
        <f t="shared" si="3"/>
        <v>45300</v>
      </c>
      <c r="K203" t="str">
        <f>TEXT(Table1[[#This Row],[Order_Date]],"mmm")</f>
        <v>Jan</v>
      </c>
    </row>
    <row r="204" spans="1:11" x14ac:dyDescent="0.25">
      <c r="A204">
        <v>1203</v>
      </c>
      <c r="B204" s="1" t="s">
        <v>74</v>
      </c>
      <c r="C204" t="s">
        <v>50</v>
      </c>
      <c r="D204" t="s">
        <v>11</v>
      </c>
      <c r="E204" t="s">
        <v>35</v>
      </c>
      <c r="F204" t="s">
        <v>22</v>
      </c>
      <c r="G204">
        <v>4</v>
      </c>
      <c r="H204">
        <v>20000</v>
      </c>
      <c r="I204">
        <v>80000</v>
      </c>
      <c r="J204" s="2">
        <f t="shared" si="3"/>
        <v>45608</v>
      </c>
      <c r="K204" t="str">
        <f>TEXT(Table1[[#This Row],[Order_Date]],"mmm")</f>
        <v>Nov</v>
      </c>
    </row>
    <row r="205" spans="1:11" x14ac:dyDescent="0.25">
      <c r="A205">
        <v>1204</v>
      </c>
      <c r="B205" s="1" t="s">
        <v>193</v>
      </c>
      <c r="C205" t="s">
        <v>10</v>
      </c>
      <c r="D205" t="s">
        <v>47</v>
      </c>
      <c r="E205" t="s">
        <v>43</v>
      </c>
      <c r="F205" t="s">
        <v>44</v>
      </c>
      <c r="G205">
        <v>5</v>
      </c>
      <c r="H205">
        <v>1500</v>
      </c>
      <c r="I205">
        <v>7500</v>
      </c>
      <c r="J205" s="2">
        <f t="shared" si="3"/>
        <v>45381</v>
      </c>
      <c r="K205" t="str">
        <f>TEXT(Table1[[#This Row],[Order_Date]],"mmm")</f>
        <v>Mar</v>
      </c>
    </row>
    <row r="206" spans="1:11" x14ac:dyDescent="0.25">
      <c r="A206">
        <v>1205</v>
      </c>
      <c r="B206" s="1" t="s">
        <v>82</v>
      </c>
      <c r="C206" t="s">
        <v>19</v>
      </c>
      <c r="D206" t="s">
        <v>39</v>
      </c>
      <c r="E206" t="s">
        <v>48</v>
      </c>
      <c r="F206" t="s">
        <v>44</v>
      </c>
      <c r="G206">
        <v>1</v>
      </c>
      <c r="H206">
        <v>5000</v>
      </c>
      <c r="I206">
        <v>5000</v>
      </c>
      <c r="J206" s="2">
        <f t="shared" si="3"/>
        <v>45514</v>
      </c>
      <c r="K206" t="str">
        <f>TEXT(Table1[[#This Row],[Order_Date]],"mmm")</f>
        <v>Aug</v>
      </c>
    </row>
    <row r="207" spans="1:11" x14ac:dyDescent="0.25">
      <c r="A207">
        <v>1206</v>
      </c>
      <c r="B207" s="1" t="s">
        <v>194</v>
      </c>
      <c r="C207" t="s">
        <v>38</v>
      </c>
      <c r="D207" t="s">
        <v>20</v>
      </c>
      <c r="E207" t="s">
        <v>21</v>
      </c>
      <c r="F207" t="s">
        <v>22</v>
      </c>
      <c r="G207">
        <v>5</v>
      </c>
      <c r="H207">
        <v>50000</v>
      </c>
      <c r="I207">
        <v>250000</v>
      </c>
      <c r="J207" s="2">
        <f t="shared" si="3"/>
        <v>45371</v>
      </c>
      <c r="K207" t="str">
        <f>TEXT(Table1[[#This Row],[Order_Date]],"mmm")</f>
        <v>Mar</v>
      </c>
    </row>
    <row r="208" spans="1:11" x14ac:dyDescent="0.25">
      <c r="A208">
        <v>1207</v>
      </c>
      <c r="B208" s="1" t="s">
        <v>194</v>
      </c>
      <c r="C208" t="s">
        <v>42</v>
      </c>
      <c r="D208" t="s">
        <v>39</v>
      </c>
      <c r="E208" t="s">
        <v>35</v>
      </c>
      <c r="F208" t="s">
        <v>22</v>
      </c>
      <c r="G208">
        <v>2</v>
      </c>
      <c r="H208">
        <v>20000</v>
      </c>
      <c r="I208">
        <v>40000</v>
      </c>
      <c r="J208" s="2">
        <f t="shared" si="3"/>
        <v>45371</v>
      </c>
      <c r="K208" t="str">
        <f>TEXT(Table1[[#This Row],[Order_Date]],"mmm")</f>
        <v>Mar</v>
      </c>
    </row>
    <row r="209" spans="1:11" x14ac:dyDescent="0.25">
      <c r="A209">
        <v>1208</v>
      </c>
      <c r="B209" s="1" t="s">
        <v>195</v>
      </c>
      <c r="C209" t="s">
        <v>32</v>
      </c>
      <c r="D209" t="s">
        <v>39</v>
      </c>
      <c r="E209" t="s">
        <v>35</v>
      </c>
      <c r="F209" t="s">
        <v>22</v>
      </c>
      <c r="G209">
        <v>1</v>
      </c>
      <c r="H209">
        <v>20000</v>
      </c>
      <c r="I209">
        <v>20000</v>
      </c>
      <c r="J209" s="2">
        <f t="shared" si="3"/>
        <v>45606</v>
      </c>
      <c r="K209" t="str">
        <f>TEXT(Table1[[#This Row],[Order_Date]],"mmm")</f>
        <v>Nov</v>
      </c>
    </row>
    <row r="210" spans="1:11" x14ac:dyDescent="0.25">
      <c r="A210">
        <v>1209</v>
      </c>
      <c r="B210" s="1" t="s">
        <v>196</v>
      </c>
      <c r="C210" t="s">
        <v>30</v>
      </c>
      <c r="D210" t="s">
        <v>47</v>
      </c>
      <c r="E210" t="s">
        <v>43</v>
      </c>
      <c r="F210" t="s">
        <v>44</v>
      </c>
      <c r="G210">
        <v>4</v>
      </c>
      <c r="H210">
        <v>1500</v>
      </c>
      <c r="I210">
        <v>6000</v>
      </c>
      <c r="J210" s="2">
        <f t="shared" si="3"/>
        <v>45616</v>
      </c>
      <c r="K210" t="str">
        <f>TEXT(Table1[[#This Row],[Order_Date]],"mmm")</f>
        <v>Nov</v>
      </c>
    </row>
    <row r="211" spans="1:11" x14ac:dyDescent="0.25">
      <c r="A211">
        <v>1210</v>
      </c>
      <c r="B211" s="1" t="s">
        <v>89</v>
      </c>
      <c r="C211" t="s">
        <v>15</v>
      </c>
      <c r="D211" t="s">
        <v>25</v>
      </c>
      <c r="E211" t="s">
        <v>26</v>
      </c>
      <c r="F211" t="s">
        <v>22</v>
      </c>
      <c r="G211">
        <v>2</v>
      </c>
      <c r="H211">
        <v>2500</v>
      </c>
      <c r="I211">
        <v>5000</v>
      </c>
      <c r="J211" s="2">
        <f t="shared" si="3"/>
        <v>45436</v>
      </c>
      <c r="K211" t="str">
        <f>TEXT(Table1[[#This Row],[Order_Date]],"mmm")</f>
        <v>May</v>
      </c>
    </row>
    <row r="212" spans="1:11" x14ac:dyDescent="0.25">
      <c r="A212">
        <v>1211</v>
      </c>
      <c r="B212" s="1" t="s">
        <v>197</v>
      </c>
      <c r="C212" t="s">
        <v>28</v>
      </c>
      <c r="D212" t="s">
        <v>16</v>
      </c>
      <c r="E212" t="s">
        <v>35</v>
      </c>
      <c r="F212" t="s">
        <v>22</v>
      </c>
      <c r="G212">
        <v>4</v>
      </c>
      <c r="H212">
        <v>20000</v>
      </c>
      <c r="I212">
        <v>80000</v>
      </c>
      <c r="J212" s="2">
        <f t="shared" si="3"/>
        <v>45434</v>
      </c>
      <c r="K212" t="str">
        <f>TEXT(Table1[[#This Row],[Order_Date]],"mmm")</f>
        <v>May</v>
      </c>
    </row>
    <row r="213" spans="1:11" x14ac:dyDescent="0.25">
      <c r="A213">
        <v>1212</v>
      </c>
      <c r="B213" s="1" t="s">
        <v>198</v>
      </c>
      <c r="C213" t="s">
        <v>19</v>
      </c>
      <c r="D213" t="s">
        <v>11</v>
      </c>
      <c r="E213" t="s">
        <v>26</v>
      </c>
      <c r="F213" t="s">
        <v>22</v>
      </c>
      <c r="G213">
        <v>1</v>
      </c>
      <c r="H213">
        <v>2500</v>
      </c>
      <c r="I213">
        <v>2500</v>
      </c>
      <c r="J213" s="2">
        <f t="shared" si="3"/>
        <v>45466</v>
      </c>
      <c r="K213" t="str">
        <f>TEXT(Table1[[#This Row],[Order_Date]],"mmm")</f>
        <v>Jun</v>
      </c>
    </row>
    <row r="214" spans="1:11" x14ac:dyDescent="0.25">
      <c r="A214">
        <v>1213</v>
      </c>
      <c r="B214" s="1" t="s">
        <v>199</v>
      </c>
      <c r="C214" t="s">
        <v>10</v>
      </c>
      <c r="D214" t="s">
        <v>20</v>
      </c>
      <c r="E214" t="s">
        <v>51</v>
      </c>
      <c r="F214" t="s">
        <v>13</v>
      </c>
      <c r="G214">
        <v>4</v>
      </c>
      <c r="H214">
        <v>2000</v>
      </c>
      <c r="I214">
        <v>8000</v>
      </c>
      <c r="J214" s="2">
        <f t="shared" si="3"/>
        <v>45492</v>
      </c>
      <c r="K214" t="str">
        <f>TEXT(Table1[[#This Row],[Order_Date]],"mmm")</f>
        <v>Jul</v>
      </c>
    </row>
    <row r="215" spans="1:11" x14ac:dyDescent="0.25">
      <c r="A215">
        <v>1214</v>
      </c>
      <c r="B215" s="1" t="s">
        <v>200</v>
      </c>
      <c r="C215" t="s">
        <v>19</v>
      </c>
      <c r="D215" t="s">
        <v>16</v>
      </c>
      <c r="E215" t="s">
        <v>26</v>
      </c>
      <c r="F215" t="s">
        <v>22</v>
      </c>
      <c r="G215">
        <v>4</v>
      </c>
      <c r="H215">
        <v>2500</v>
      </c>
      <c r="I215">
        <v>10000</v>
      </c>
      <c r="J215" s="2">
        <f t="shared" si="3"/>
        <v>45515</v>
      </c>
      <c r="K215" t="str">
        <f>TEXT(Table1[[#This Row],[Order_Date]],"mmm")</f>
        <v>Aug</v>
      </c>
    </row>
    <row r="216" spans="1:11" x14ac:dyDescent="0.25">
      <c r="A216">
        <v>1215</v>
      </c>
      <c r="B216" s="1" t="s">
        <v>201</v>
      </c>
      <c r="C216" t="s">
        <v>10</v>
      </c>
      <c r="D216" t="s">
        <v>25</v>
      </c>
      <c r="E216" t="s">
        <v>43</v>
      </c>
      <c r="F216" t="s">
        <v>44</v>
      </c>
      <c r="G216">
        <v>2</v>
      </c>
      <c r="H216">
        <v>1500</v>
      </c>
      <c r="I216">
        <v>3000</v>
      </c>
      <c r="J216" s="2">
        <f t="shared" si="3"/>
        <v>45513</v>
      </c>
      <c r="K216" t="str">
        <f>TEXT(Table1[[#This Row],[Order_Date]],"mmm")</f>
        <v>Aug</v>
      </c>
    </row>
    <row r="217" spans="1:11" x14ac:dyDescent="0.25">
      <c r="A217">
        <v>1216</v>
      </c>
      <c r="B217" s="1" t="s">
        <v>34</v>
      </c>
      <c r="C217" t="s">
        <v>57</v>
      </c>
      <c r="D217" t="s">
        <v>16</v>
      </c>
      <c r="E217" t="s">
        <v>48</v>
      </c>
      <c r="F217" t="s">
        <v>44</v>
      </c>
      <c r="G217">
        <v>3</v>
      </c>
      <c r="H217">
        <v>5000</v>
      </c>
      <c r="I217">
        <v>15000</v>
      </c>
      <c r="J217" s="2">
        <f t="shared" si="3"/>
        <v>45355</v>
      </c>
      <c r="K217" t="str">
        <f>TEXT(Table1[[#This Row],[Order_Date]],"mmm")</f>
        <v>Mar</v>
      </c>
    </row>
    <row r="218" spans="1:11" x14ac:dyDescent="0.25">
      <c r="A218">
        <v>1217</v>
      </c>
      <c r="B218" s="1" t="s">
        <v>202</v>
      </c>
      <c r="C218" t="s">
        <v>28</v>
      </c>
      <c r="D218" t="s">
        <v>33</v>
      </c>
      <c r="E218" t="s">
        <v>12</v>
      </c>
      <c r="F218" t="s">
        <v>13</v>
      </c>
      <c r="G218">
        <v>3</v>
      </c>
      <c r="H218">
        <v>800</v>
      </c>
      <c r="I218">
        <v>2400</v>
      </c>
      <c r="J218" s="2">
        <f t="shared" si="3"/>
        <v>45653</v>
      </c>
      <c r="K218" t="str">
        <f>TEXT(Table1[[#This Row],[Order_Date]],"mmm")</f>
        <v>Dec</v>
      </c>
    </row>
    <row r="219" spans="1:11" x14ac:dyDescent="0.25">
      <c r="A219">
        <v>1218</v>
      </c>
      <c r="B219" s="1" t="s">
        <v>89</v>
      </c>
      <c r="C219" t="s">
        <v>38</v>
      </c>
      <c r="D219" t="s">
        <v>11</v>
      </c>
      <c r="E219" t="s">
        <v>51</v>
      </c>
      <c r="F219" t="s">
        <v>13</v>
      </c>
      <c r="G219">
        <v>4</v>
      </c>
      <c r="H219">
        <v>2000</v>
      </c>
      <c r="I219">
        <v>8000</v>
      </c>
      <c r="J219" s="2">
        <f t="shared" si="3"/>
        <v>45436</v>
      </c>
      <c r="K219" t="str">
        <f>TEXT(Table1[[#This Row],[Order_Date]],"mmm")</f>
        <v>May</v>
      </c>
    </row>
    <row r="220" spans="1:11" x14ac:dyDescent="0.25">
      <c r="A220">
        <v>1219</v>
      </c>
      <c r="B220" s="1" t="s">
        <v>203</v>
      </c>
      <c r="C220" t="s">
        <v>57</v>
      </c>
      <c r="D220" t="s">
        <v>25</v>
      </c>
      <c r="E220" t="s">
        <v>17</v>
      </c>
      <c r="F220" t="s">
        <v>13</v>
      </c>
      <c r="G220">
        <v>4</v>
      </c>
      <c r="H220">
        <v>3000</v>
      </c>
      <c r="I220">
        <v>12000</v>
      </c>
      <c r="J220" s="2">
        <f t="shared" si="3"/>
        <v>45639</v>
      </c>
      <c r="K220" t="str">
        <f>TEXT(Table1[[#This Row],[Order_Date]],"mmm")</f>
        <v>Dec</v>
      </c>
    </row>
    <row r="221" spans="1:11" x14ac:dyDescent="0.25">
      <c r="A221">
        <v>1220</v>
      </c>
      <c r="B221" s="1" t="s">
        <v>204</v>
      </c>
      <c r="C221" t="s">
        <v>30</v>
      </c>
      <c r="D221" t="s">
        <v>47</v>
      </c>
      <c r="E221" t="s">
        <v>43</v>
      </c>
      <c r="F221" t="s">
        <v>44</v>
      </c>
      <c r="G221">
        <v>3</v>
      </c>
      <c r="H221">
        <v>1500</v>
      </c>
      <c r="I221">
        <v>4500</v>
      </c>
      <c r="J221" s="2">
        <f t="shared" si="3"/>
        <v>45331</v>
      </c>
      <c r="K221" t="str">
        <f>TEXT(Table1[[#This Row],[Order_Date]],"mmm")</f>
        <v>Feb</v>
      </c>
    </row>
    <row r="222" spans="1:11" x14ac:dyDescent="0.25">
      <c r="A222">
        <v>1221</v>
      </c>
      <c r="B222" s="1" t="s">
        <v>205</v>
      </c>
      <c r="C222" t="s">
        <v>15</v>
      </c>
      <c r="D222" t="s">
        <v>47</v>
      </c>
      <c r="E222" t="s">
        <v>17</v>
      </c>
      <c r="F222" t="s">
        <v>13</v>
      </c>
      <c r="G222">
        <v>3</v>
      </c>
      <c r="H222">
        <v>3000</v>
      </c>
      <c r="I222">
        <v>9000</v>
      </c>
      <c r="J222" s="2">
        <f t="shared" si="3"/>
        <v>45518</v>
      </c>
      <c r="K222" t="str">
        <f>TEXT(Table1[[#This Row],[Order_Date]],"mmm")</f>
        <v>Aug</v>
      </c>
    </row>
    <row r="223" spans="1:11" x14ac:dyDescent="0.25">
      <c r="A223">
        <v>1222</v>
      </c>
      <c r="B223" s="1" t="s">
        <v>206</v>
      </c>
      <c r="C223" t="s">
        <v>50</v>
      </c>
      <c r="D223" t="s">
        <v>11</v>
      </c>
      <c r="E223" t="s">
        <v>26</v>
      </c>
      <c r="F223" t="s">
        <v>22</v>
      </c>
      <c r="G223">
        <v>2</v>
      </c>
      <c r="H223">
        <v>2500</v>
      </c>
      <c r="I223">
        <v>5000</v>
      </c>
      <c r="J223" s="2">
        <f t="shared" si="3"/>
        <v>45299</v>
      </c>
      <c r="K223" t="str">
        <f>TEXT(Table1[[#This Row],[Order_Date]],"mmm")</f>
        <v>Jan</v>
      </c>
    </row>
    <row r="224" spans="1:11" x14ac:dyDescent="0.25">
      <c r="A224">
        <v>1223</v>
      </c>
      <c r="B224" s="1" t="s">
        <v>203</v>
      </c>
      <c r="C224" t="s">
        <v>53</v>
      </c>
      <c r="D224" t="s">
        <v>25</v>
      </c>
      <c r="E224" t="s">
        <v>12</v>
      </c>
      <c r="F224" t="s">
        <v>13</v>
      </c>
      <c r="G224">
        <v>4</v>
      </c>
      <c r="H224">
        <v>800</v>
      </c>
      <c r="I224">
        <v>3200</v>
      </c>
      <c r="J224" s="2">
        <f t="shared" si="3"/>
        <v>45639</v>
      </c>
      <c r="K224" t="str">
        <f>TEXT(Table1[[#This Row],[Order_Date]],"mmm")</f>
        <v>Dec</v>
      </c>
    </row>
    <row r="225" spans="1:11" x14ac:dyDescent="0.25">
      <c r="A225">
        <v>1224</v>
      </c>
      <c r="B225" s="1" t="s">
        <v>207</v>
      </c>
      <c r="C225" t="s">
        <v>30</v>
      </c>
      <c r="D225" t="s">
        <v>20</v>
      </c>
      <c r="E225" t="s">
        <v>35</v>
      </c>
      <c r="F225" t="s">
        <v>22</v>
      </c>
      <c r="G225">
        <v>4</v>
      </c>
      <c r="H225">
        <v>20000</v>
      </c>
      <c r="I225">
        <v>80000</v>
      </c>
      <c r="J225" s="2">
        <f t="shared" si="3"/>
        <v>45468</v>
      </c>
      <c r="K225" t="str">
        <f>TEXT(Table1[[#This Row],[Order_Date]],"mmm")</f>
        <v>Jun</v>
      </c>
    </row>
    <row r="226" spans="1:11" x14ac:dyDescent="0.25">
      <c r="A226">
        <v>1225</v>
      </c>
      <c r="B226" s="1" t="s">
        <v>138</v>
      </c>
      <c r="C226" t="s">
        <v>32</v>
      </c>
      <c r="D226" t="s">
        <v>47</v>
      </c>
      <c r="E226" t="s">
        <v>51</v>
      </c>
      <c r="F226" t="s">
        <v>13</v>
      </c>
      <c r="G226">
        <v>5</v>
      </c>
      <c r="H226">
        <v>2000</v>
      </c>
      <c r="I226">
        <v>10000</v>
      </c>
      <c r="J226" s="2">
        <f t="shared" si="3"/>
        <v>45347</v>
      </c>
      <c r="K226" t="str">
        <f>TEXT(Table1[[#This Row],[Order_Date]],"mmm")</f>
        <v>Feb</v>
      </c>
    </row>
    <row r="227" spans="1:11" x14ac:dyDescent="0.25">
      <c r="A227">
        <v>1226</v>
      </c>
      <c r="B227" s="1" t="s">
        <v>114</v>
      </c>
      <c r="C227" t="s">
        <v>32</v>
      </c>
      <c r="D227" t="s">
        <v>47</v>
      </c>
      <c r="E227" t="s">
        <v>35</v>
      </c>
      <c r="F227" t="s">
        <v>22</v>
      </c>
      <c r="G227">
        <v>4</v>
      </c>
      <c r="H227">
        <v>20000</v>
      </c>
      <c r="I227">
        <v>80000</v>
      </c>
      <c r="J227" s="2">
        <f t="shared" si="3"/>
        <v>45525</v>
      </c>
      <c r="K227" t="str">
        <f>TEXT(Table1[[#This Row],[Order_Date]],"mmm")</f>
        <v>Aug</v>
      </c>
    </row>
    <row r="228" spans="1:11" x14ac:dyDescent="0.25">
      <c r="A228">
        <v>1227</v>
      </c>
      <c r="B228" s="1" t="s">
        <v>141</v>
      </c>
      <c r="C228" t="s">
        <v>15</v>
      </c>
      <c r="D228" t="s">
        <v>33</v>
      </c>
      <c r="E228" t="s">
        <v>17</v>
      </c>
      <c r="F228" t="s">
        <v>13</v>
      </c>
      <c r="G228">
        <v>3</v>
      </c>
      <c r="H228">
        <v>3000</v>
      </c>
      <c r="I228">
        <v>9000</v>
      </c>
      <c r="J228" s="2">
        <f t="shared" si="3"/>
        <v>45382</v>
      </c>
      <c r="K228" t="str">
        <f>TEXT(Table1[[#This Row],[Order_Date]],"mmm")</f>
        <v>Mar</v>
      </c>
    </row>
    <row r="229" spans="1:11" x14ac:dyDescent="0.25">
      <c r="A229">
        <v>1228</v>
      </c>
      <c r="B229" s="1" t="s">
        <v>208</v>
      </c>
      <c r="C229" t="s">
        <v>15</v>
      </c>
      <c r="D229" t="s">
        <v>16</v>
      </c>
      <c r="E229" t="s">
        <v>12</v>
      </c>
      <c r="F229" t="s">
        <v>13</v>
      </c>
      <c r="G229">
        <v>3</v>
      </c>
      <c r="H229">
        <v>800</v>
      </c>
      <c r="I229">
        <v>2400</v>
      </c>
      <c r="J229" s="2">
        <f t="shared" si="3"/>
        <v>45652</v>
      </c>
      <c r="K229" t="str">
        <f>TEXT(Table1[[#This Row],[Order_Date]],"mmm")</f>
        <v>Dec</v>
      </c>
    </row>
    <row r="230" spans="1:11" x14ac:dyDescent="0.25">
      <c r="A230">
        <v>1229</v>
      </c>
      <c r="B230" s="1" t="s">
        <v>168</v>
      </c>
      <c r="C230" t="s">
        <v>19</v>
      </c>
      <c r="D230" t="s">
        <v>33</v>
      </c>
      <c r="E230" t="s">
        <v>12</v>
      </c>
      <c r="F230" t="s">
        <v>13</v>
      </c>
      <c r="G230">
        <v>5</v>
      </c>
      <c r="H230">
        <v>800</v>
      </c>
      <c r="I230">
        <v>4000</v>
      </c>
      <c r="J230" s="2">
        <f t="shared" si="3"/>
        <v>45530</v>
      </c>
      <c r="K230" t="str">
        <f>TEXT(Table1[[#This Row],[Order_Date]],"mmm")</f>
        <v>Aug</v>
      </c>
    </row>
    <row r="231" spans="1:11" x14ac:dyDescent="0.25">
      <c r="A231">
        <v>1230</v>
      </c>
      <c r="B231" s="1" t="s">
        <v>209</v>
      </c>
      <c r="C231" t="s">
        <v>38</v>
      </c>
      <c r="D231" t="s">
        <v>11</v>
      </c>
      <c r="E231" t="s">
        <v>26</v>
      </c>
      <c r="F231" t="s">
        <v>22</v>
      </c>
      <c r="G231">
        <v>3</v>
      </c>
      <c r="H231">
        <v>2500</v>
      </c>
      <c r="I231">
        <v>7500</v>
      </c>
      <c r="J231" s="2">
        <f t="shared" si="3"/>
        <v>45642</v>
      </c>
      <c r="K231" t="str">
        <f>TEXT(Table1[[#This Row],[Order_Date]],"mmm")</f>
        <v>Dec</v>
      </c>
    </row>
    <row r="232" spans="1:11" x14ac:dyDescent="0.25">
      <c r="A232">
        <v>1231</v>
      </c>
      <c r="B232" s="1" t="s">
        <v>122</v>
      </c>
      <c r="C232" t="s">
        <v>30</v>
      </c>
      <c r="D232" t="s">
        <v>33</v>
      </c>
      <c r="E232" t="s">
        <v>21</v>
      </c>
      <c r="F232" t="s">
        <v>22</v>
      </c>
      <c r="G232">
        <v>1</v>
      </c>
      <c r="H232">
        <v>50000</v>
      </c>
      <c r="I232">
        <v>50000</v>
      </c>
      <c r="J232" s="2">
        <f t="shared" si="3"/>
        <v>45498</v>
      </c>
      <c r="K232" t="str">
        <f>TEXT(Table1[[#This Row],[Order_Date]],"mmm")</f>
        <v>Jul</v>
      </c>
    </row>
    <row r="233" spans="1:11" x14ac:dyDescent="0.25">
      <c r="A233">
        <v>1232</v>
      </c>
      <c r="B233" s="1" t="s">
        <v>73</v>
      </c>
      <c r="C233" t="s">
        <v>50</v>
      </c>
      <c r="D233" t="s">
        <v>25</v>
      </c>
      <c r="E233" t="s">
        <v>35</v>
      </c>
      <c r="F233" t="s">
        <v>22</v>
      </c>
      <c r="G233">
        <v>4</v>
      </c>
      <c r="H233">
        <v>20000</v>
      </c>
      <c r="I233">
        <v>80000</v>
      </c>
      <c r="J233" s="2">
        <f t="shared" si="3"/>
        <v>45559</v>
      </c>
      <c r="K233" t="str">
        <f>TEXT(Table1[[#This Row],[Order_Date]],"mmm")</f>
        <v>Sep</v>
      </c>
    </row>
    <row r="234" spans="1:11" x14ac:dyDescent="0.25">
      <c r="A234">
        <v>1233</v>
      </c>
      <c r="B234" s="1" t="s">
        <v>210</v>
      </c>
      <c r="C234" t="s">
        <v>42</v>
      </c>
      <c r="D234" t="s">
        <v>25</v>
      </c>
      <c r="E234" t="s">
        <v>43</v>
      </c>
      <c r="F234" t="s">
        <v>44</v>
      </c>
      <c r="G234">
        <v>3</v>
      </c>
      <c r="H234">
        <v>1500</v>
      </c>
      <c r="I234">
        <v>4500</v>
      </c>
      <c r="J234" s="2">
        <f t="shared" si="3"/>
        <v>45480</v>
      </c>
      <c r="K234" t="str">
        <f>TEXT(Table1[[#This Row],[Order_Date]],"mmm")</f>
        <v>Jul</v>
      </c>
    </row>
    <row r="235" spans="1:11" x14ac:dyDescent="0.25">
      <c r="A235">
        <v>1234</v>
      </c>
      <c r="B235" s="1" t="s">
        <v>151</v>
      </c>
      <c r="C235" t="s">
        <v>53</v>
      </c>
      <c r="D235" t="s">
        <v>11</v>
      </c>
      <c r="E235" t="s">
        <v>48</v>
      </c>
      <c r="F235" t="s">
        <v>44</v>
      </c>
      <c r="G235">
        <v>1</v>
      </c>
      <c r="H235">
        <v>5000</v>
      </c>
      <c r="I235">
        <v>5000</v>
      </c>
      <c r="J235" s="2">
        <f t="shared" si="3"/>
        <v>45477</v>
      </c>
      <c r="K235" t="str">
        <f>TEXT(Table1[[#This Row],[Order_Date]],"mmm")</f>
        <v>Jul</v>
      </c>
    </row>
    <row r="236" spans="1:11" x14ac:dyDescent="0.25">
      <c r="A236">
        <v>1235</v>
      </c>
      <c r="B236" s="1" t="s">
        <v>93</v>
      </c>
      <c r="C236" t="s">
        <v>30</v>
      </c>
      <c r="D236" t="s">
        <v>25</v>
      </c>
      <c r="E236" t="s">
        <v>26</v>
      </c>
      <c r="F236" t="s">
        <v>22</v>
      </c>
      <c r="G236">
        <v>2</v>
      </c>
      <c r="H236">
        <v>2500</v>
      </c>
      <c r="I236">
        <v>5000</v>
      </c>
      <c r="J236" s="2">
        <f t="shared" si="3"/>
        <v>45404</v>
      </c>
      <c r="K236" t="str">
        <f>TEXT(Table1[[#This Row],[Order_Date]],"mmm")</f>
        <v>Apr</v>
      </c>
    </row>
    <row r="237" spans="1:11" x14ac:dyDescent="0.25">
      <c r="A237">
        <v>1236</v>
      </c>
      <c r="B237" s="1" t="s">
        <v>182</v>
      </c>
      <c r="C237" t="s">
        <v>15</v>
      </c>
      <c r="D237" t="s">
        <v>11</v>
      </c>
      <c r="E237" t="s">
        <v>51</v>
      </c>
      <c r="F237" t="s">
        <v>13</v>
      </c>
      <c r="G237">
        <v>5</v>
      </c>
      <c r="H237">
        <v>2000</v>
      </c>
      <c r="I237">
        <v>10000</v>
      </c>
      <c r="J237" s="2">
        <f t="shared" si="3"/>
        <v>45551</v>
      </c>
      <c r="K237" t="str">
        <f>TEXT(Table1[[#This Row],[Order_Date]],"mmm")</f>
        <v>Sep</v>
      </c>
    </row>
    <row r="238" spans="1:11" x14ac:dyDescent="0.25">
      <c r="A238">
        <v>1237</v>
      </c>
      <c r="B238" s="1" t="s">
        <v>211</v>
      </c>
      <c r="C238" t="s">
        <v>38</v>
      </c>
      <c r="D238" t="s">
        <v>25</v>
      </c>
      <c r="E238" t="s">
        <v>26</v>
      </c>
      <c r="F238" t="s">
        <v>22</v>
      </c>
      <c r="G238">
        <v>4</v>
      </c>
      <c r="H238">
        <v>2500</v>
      </c>
      <c r="I238">
        <v>10000</v>
      </c>
      <c r="J238" s="2">
        <f t="shared" si="3"/>
        <v>45614</v>
      </c>
      <c r="K238" t="str">
        <f>TEXT(Table1[[#This Row],[Order_Date]],"mmm")</f>
        <v>Nov</v>
      </c>
    </row>
    <row r="239" spans="1:11" x14ac:dyDescent="0.25">
      <c r="A239">
        <v>1238</v>
      </c>
      <c r="B239" s="1" t="s">
        <v>27</v>
      </c>
      <c r="C239" t="s">
        <v>53</v>
      </c>
      <c r="D239" t="s">
        <v>39</v>
      </c>
      <c r="E239" t="s">
        <v>35</v>
      </c>
      <c r="F239" t="s">
        <v>22</v>
      </c>
      <c r="G239">
        <v>5</v>
      </c>
      <c r="H239">
        <v>20000</v>
      </c>
      <c r="I239">
        <v>100000</v>
      </c>
      <c r="J239" s="2">
        <f t="shared" si="3"/>
        <v>45465</v>
      </c>
      <c r="K239" t="str">
        <f>TEXT(Table1[[#This Row],[Order_Date]],"mmm")</f>
        <v>Jun</v>
      </c>
    </row>
    <row r="240" spans="1:11" x14ac:dyDescent="0.25">
      <c r="A240">
        <v>1239</v>
      </c>
      <c r="B240" s="1" t="s">
        <v>212</v>
      </c>
      <c r="C240" t="s">
        <v>57</v>
      </c>
      <c r="D240" t="s">
        <v>47</v>
      </c>
      <c r="E240" t="s">
        <v>51</v>
      </c>
      <c r="F240" t="s">
        <v>13</v>
      </c>
      <c r="G240">
        <v>1</v>
      </c>
      <c r="H240">
        <v>2000</v>
      </c>
      <c r="I240">
        <v>2000</v>
      </c>
      <c r="J240" s="2">
        <f t="shared" si="3"/>
        <v>45348</v>
      </c>
      <c r="K240" t="str">
        <f>TEXT(Table1[[#This Row],[Order_Date]],"mmm")</f>
        <v>Feb</v>
      </c>
    </row>
    <row r="241" spans="1:11" x14ac:dyDescent="0.25">
      <c r="A241">
        <v>1240</v>
      </c>
      <c r="B241" s="1" t="s">
        <v>150</v>
      </c>
      <c r="C241" t="s">
        <v>32</v>
      </c>
      <c r="D241" t="s">
        <v>11</v>
      </c>
      <c r="E241" t="s">
        <v>35</v>
      </c>
      <c r="F241" t="s">
        <v>22</v>
      </c>
      <c r="G241">
        <v>1</v>
      </c>
      <c r="H241">
        <v>20000</v>
      </c>
      <c r="I241">
        <v>20000</v>
      </c>
      <c r="J241" s="2">
        <f t="shared" si="3"/>
        <v>45368</v>
      </c>
      <c r="K241" t="str">
        <f>TEXT(Table1[[#This Row],[Order_Date]],"mmm")</f>
        <v>Mar</v>
      </c>
    </row>
    <row r="242" spans="1:11" x14ac:dyDescent="0.25">
      <c r="A242">
        <v>1241</v>
      </c>
      <c r="B242" s="1" t="s">
        <v>179</v>
      </c>
      <c r="C242" t="s">
        <v>50</v>
      </c>
      <c r="D242" t="s">
        <v>47</v>
      </c>
      <c r="E242" t="s">
        <v>17</v>
      </c>
      <c r="F242" t="s">
        <v>13</v>
      </c>
      <c r="G242">
        <v>2</v>
      </c>
      <c r="H242">
        <v>3000</v>
      </c>
      <c r="I242">
        <v>6000</v>
      </c>
      <c r="J242" s="2">
        <f t="shared" si="3"/>
        <v>45424</v>
      </c>
      <c r="K242" t="str">
        <f>TEXT(Table1[[#This Row],[Order_Date]],"mmm")</f>
        <v>May</v>
      </c>
    </row>
    <row r="243" spans="1:11" x14ac:dyDescent="0.25">
      <c r="A243">
        <v>1242</v>
      </c>
      <c r="B243" s="1" t="s">
        <v>181</v>
      </c>
      <c r="C243" t="s">
        <v>19</v>
      </c>
      <c r="D243" t="s">
        <v>47</v>
      </c>
      <c r="E243" t="s">
        <v>35</v>
      </c>
      <c r="F243" t="s">
        <v>22</v>
      </c>
      <c r="G243">
        <v>5</v>
      </c>
      <c r="H243">
        <v>20000</v>
      </c>
      <c r="I243">
        <v>100000</v>
      </c>
      <c r="J243" s="2">
        <f t="shared" si="3"/>
        <v>45455</v>
      </c>
      <c r="K243" t="str">
        <f>TEXT(Table1[[#This Row],[Order_Date]],"mmm")</f>
        <v>Jun</v>
      </c>
    </row>
    <row r="244" spans="1:11" x14ac:dyDescent="0.25">
      <c r="A244">
        <v>1243</v>
      </c>
      <c r="B244" s="1" t="s">
        <v>213</v>
      </c>
      <c r="C244" t="s">
        <v>38</v>
      </c>
      <c r="D244" t="s">
        <v>47</v>
      </c>
      <c r="E244" t="s">
        <v>26</v>
      </c>
      <c r="F244" t="s">
        <v>22</v>
      </c>
      <c r="G244">
        <v>4</v>
      </c>
      <c r="H244">
        <v>2500</v>
      </c>
      <c r="I244">
        <v>10000</v>
      </c>
      <c r="J244" s="2">
        <f t="shared" si="3"/>
        <v>45412</v>
      </c>
      <c r="K244" t="str">
        <f>TEXT(Table1[[#This Row],[Order_Date]],"mmm")</f>
        <v>Apr</v>
      </c>
    </row>
    <row r="245" spans="1:11" x14ac:dyDescent="0.25">
      <c r="A245">
        <v>1244</v>
      </c>
      <c r="B245" s="1" t="s">
        <v>214</v>
      </c>
      <c r="C245" t="s">
        <v>19</v>
      </c>
      <c r="D245" t="s">
        <v>39</v>
      </c>
      <c r="E245" t="s">
        <v>12</v>
      </c>
      <c r="F245" t="s">
        <v>13</v>
      </c>
      <c r="G245">
        <v>1</v>
      </c>
      <c r="H245">
        <v>800</v>
      </c>
      <c r="I245">
        <v>800</v>
      </c>
      <c r="J245" s="2">
        <f t="shared" si="3"/>
        <v>45389</v>
      </c>
      <c r="K245" t="str">
        <f>TEXT(Table1[[#This Row],[Order_Date]],"mmm")</f>
        <v>Apr</v>
      </c>
    </row>
    <row r="246" spans="1:11" x14ac:dyDescent="0.25">
      <c r="A246">
        <v>1245</v>
      </c>
      <c r="B246" s="1" t="s">
        <v>215</v>
      </c>
      <c r="C246" t="s">
        <v>42</v>
      </c>
      <c r="D246" t="s">
        <v>47</v>
      </c>
      <c r="E246" t="s">
        <v>21</v>
      </c>
      <c r="F246" t="s">
        <v>22</v>
      </c>
      <c r="G246">
        <v>2</v>
      </c>
      <c r="H246">
        <v>50000</v>
      </c>
      <c r="I246">
        <v>100000</v>
      </c>
      <c r="J246" s="2">
        <f t="shared" si="3"/>
        <v>45471</v>
      </c>
      <c r="K246" t="str">
        <f>TEXT(Table1[[#This Row],[Order_Date]],"mmm")</f>
        <v>Jun</v>
      </c>
    </row>
    <row r="247" spans="1:11" x14ac:dyDescent="0.25">
      <c r="A247">
        <v>1246</v>
      </c>
      <c r="B247" s="1" t="s">
        <v>216</v>
      </c>
      <c r="C247" t="s">
        <v>32</v>
      </c>
      <c r="D247" t="s">
        <v>25</v>
      </c>
      <c r="E247" t="s">
        <v>48</v>
      </c>
      <c r="F247" t="s">
        <v>44</v>
      </c>
      <c r="G247">
        <v>4</v>
      </c>
      <c r="H247">
        <v>5000</v>
      </c>
      <c r="I247">
        <v>20000</v>
      </c>
      <c r="J247" s="2">
        <f t="shared" si="3"/>
        <v>45481</v>
      </c>
      <c r="K247" t="str">
        <f>TEXT(Table1[[#This Row],[Order_Date]],"mmm")</f>
        <v>Jul</v>
      </c>
    </row>
    <row r="248" spans="1:11" x14ac:dyDescent="0.25">
      <c r="A248">
        <v>1247</v>
      </c>
      <c r="B248" s="1" t="s">
        <v>217</v>
      </c>
      <c r="C248" t="s">
        <v>24</v>
      </c>
      <c r="D248" t="s">
        <v>39</v>
      </c>
      <c r="E248" t="s">
        <v>12</v>
      </c>
      <c r="F248" t="s">
        <v>13</v>
      </c>
      <c r="G248">
        <v>3</v>
      </c>
      <c r="H248">
        <v>800</v>
      </c>
      <c r="I248">
        <v>2400</v>
      </c>
      <c r="J248" s="2">
        <f t="shared" si="3"/>
        <v>45294</v>
      </c>
      <c r="K248" t="str">
        <f>TEXT(Table1[[#This Row],[Order_Date]],"mmm")</f>
        <v>Jan</v>
      </c>
    </row>
    <row r="249" spans="1:11" x14ac:dyDescent="0.25">
      <c r="A249">
        <v>1248</v>
      </c>
      <c r="B249" s="1" t="s">
        <v>218</v>
      </c>
      <c r="C249" t="s">
        <v>50</v>
      </c>
      <c r="D249" t="s">
        <v>47</v>
      </c>
      <c r="E249" t="s">
        <v>21</v>
      </c>
      <c r="F249" t="s">
        <v>22</v>
      </c>
      <c r="G249">
        <v>3</v>
      </c>
      <c r="H249">
        <v>50000</v>
      </c>
      <c r="I249">
        <v>150000</v>
      </c>
      <c r="J249" s="2">
        <f t="shared" si="3"/>
        <v>45650</v>
      </c>
      <c r="K249" t="str">
        <f>TEXT(Table1[[#This Row],[Order_Date]],"mmm")</f>
        <v>Dec</v>
      </c>
    </row>
    <row r="250" spans="1:11" x14ac:dyDescent="0.25">
      <c r="A250">
        <v>1249</v>
      </c>
      <c r="B250" s="1" t="s">
        <v>219</v>
      </c>
      <c r="C250" t="s">
        <v>28</v>
      </c>
      <c r="D250" t="s">
        <v>20</v>
      </c>
      <c r="E250" t="s">
        <v>21</v>
      </c>
      <c r="F250" t="s">
        <v>22</v>
      </c>
      <c r="G250">
        <v>4</v>
      </c>
      <c r="H250">
        <v>50000</v>
      </c>
      <c r="I250">
        <v>200000</v>
      </c>
      <c r="J250" s="2">
        <f t="shared" si="3"/>
        <v>45447</v>
      </c>
      <c r="K250" t="str">
        <f>TEXT(Table1[[#This Row],[Order_Date]],"mmm")</f>
        <v>Jun</v>
      </c>
    </row>
    <row r="251" spans="1:11" x14ac:dyDescent="0.25">
      <c r="A251">
        <v>1250</v>
      </c>
      <c r="B251" s="1" t="s">
        <v>220</v>
      </c>
      <c r="C251" t="s">
        <v>50</v>
      </c>
      <c r="D251" t="s">
        <v>39</v>
      </c>
      <c r="E251" t="s">
        <v>35</v>
      </c>
      <c r="F251" t="s">
        <v>22</v>
      </c>
      <c r="G251">
        <v>1</v>
      </c>
      <c r="H251">
        <v>20000</v>
      </c>
      <c r="I251">
        <v>20000</v>
      </c>
      <c r="J251" s="2">
        <f t="shared" si="3"/>
        <v>45456</v>
      </c>
      <c r="K251" t="str">
        <f>TEXT(Table1[[#This Row],[Order_Date]],"mmm")</f>
        <v>Jun</v>
      </c>
    </row>
    <row r="252" spans="1:11" x14ac:dyDescent="0.25">
      <c r="A252">
        <v>1251</v>
      </c>
      <c r="B252" s="1" t="s">
        <v>221</v>
      </c>
      <c r="C252" t="s">
        <v>24</v>
      </c>
      <c r="D252" t="s">
        <v>33</v>
      </c>
      <c r="E252" t="s">
        <v>26</v>
      </c>
      <c r="F252" t="s">
        <v>22</v>
      </c>
      <c r="G252">
        <v>3</v>
      </c>
      <c r="H252">
        <v>2500</v>
      </c>
      <c r="I252">
        <v>7500</v>
      </c>
      <c r="J252" s="2">
        <f t="shared" si="3"/>
        <v>45397</v>
      </c>
      <c r="K252" t="str">
        <f>TEXT(Table1[[#This Row],[Order_Date]],"mmm")</f>
        <v>Apr</v>
      </c>
    </row>
    <row r="253" spans="1:11" x14ac:dyDescent="0.25">
      <c r="A253">
        <v>1252</v>
      </c>
      <c r="B253" s="1" t="s">
        <v>222</v>
      </c>
      <c r="C253" t="s">
        <v>28</v>
      </c>
      <c r="D253" t="s">
        <v>33</v>
      </c>
      <c r="E253" t="s">
        <v>35</v>
      </c>
      <c r="F253" t="s">
        <v>22</v>
      </c>
      <c r="G253">
        <v>1</v>
      </c>
      <c r="H253">
        <v>20000</v>
      </c>
      <c r="I253">
        <v>20000</v>
      </c>
      <c r="J253" s="2">
        <f t="shared" si="3"/>
        <v>45373</v>
      </c>
      <c r="K253" t="str">
        <f>TEXT(Table1[[#This Row],[Order_Date]],"mmm")</f>
        <v>Mar</v>
      </c>
    </row>
    <row r="254" spans="1:11" x14ac:dyDescent="0.25">
      <c r="A254">
        <v>1253</v>
      </c>
      <c r="B254" s="1" t="s">
        <v>223</v>
      </c>
      <c r="C254" t="s">
        <v>42</v>
      </c>
      <c r="D254" t="s">
        <v>16</v>
      </c>
      <c r="E254" t="s">
        <v>51</v>
      </c>
      <c r="F254" t="s">
        <v>13</v>
      </c>
      <c r="G254">
        <v>4</v>
      </c>
      <c r="H254">
        <v>2000</v>
      </c>
      <c r="I254">
        <v>8000</v>
      </c>
      <c r="J254" s="2">
        <f t="shared" si="3"/>
        <v>45655</v>
      </c>
      <c r="K254" t="str">
        <f>TEXT(Table1[[#This Row],[Order_Date]],"mmm")</f>
        <v>Dec</v>
      </c>
    </row>
    <row r="255" spans="1:11" x14ac:dyDescent="0.25">
      <c r="A255">
        <v>1254</v>
      </c>
      <c r="B255" s="1" t="s">
        <v>224</v>
      </c>
      <c r="C255" t="s">
        <v>42</v>
      </c>
      <c r="D255" t="s">
        <v>11</v>
      </c>
      <c r="E255" t="s">
        <v>48</v>
      </c>
      <c r="F255" t="s">
        <v>44</v>
      </c>
      <c r="G255">
        <v>4</v>
      </c>
      <c r="H255">
        <v>5000</v>
      </c>
      <c r="I255">
        <v>20000</v>
      </c>
      <c r="J255" s="2">
        <f t="shared" si="3"/>
        <v>45625</v>
      </c>
      <c r="K255" t="str">
        <f>TEXT(Table1[[#This Row],[Order_Date]],"mmm")</f>
        <v>Nov</v>
      </c>
    </row>
    <row r="256" spans="1:11" x14ac:dyDescent="0.25">
      <c r="A256">
        <v>1255</v>
      </c>
      <c r="B256" s="1" t="s">
        <v>63</v>
      </c>
      <c r="C256" t="s">
        <v>38</v>
      </c>
      <c r="D256" t="s">
        <v>47</v>
      </c>
      <c r="E256" t="s">
        <v>21</v>
      </c>
      <c r="F256" t="s">
        <v>22</v>
      </c>
      <c r="G256">
        <v>3</v>
      </c>
      <c r="H256">
        <v>50000</v>
      </c>
      <c r="I256">
        <v>150000</v>
      </c>
      <c r="J256" s="2">
        <f t="shared" si="3"/>
        <v>45459</v>
      </c>
      <c r="K256" t="str">
        <f>TEXT(Table1[[#This Row],[Order_Date]],"mmm")</f>
        <v>Jun</v>
      </c>
    </row>
    <row r="257" spans="1:11" x14ac:dyDescent="0.25">
      <c r="A257">
        <v>1256</v>
      </c>
      <c r="B257" s="1" t="s">
        <v>225</v>
      </c>
      <c r="C257" t="s">
        <v>57</v>
      </c>
      <c r="D257" t="s">
        <v>25</v>
      </c>
      <c r="E257" t="s">
        <v>21</v>
      </c>
      <c r="F257" t="s">
        <v>22</v>
      </c>
      <c r="G257">
        <v>3</v>
      </c>
      <c r="H257">
        <v>50000</v>
      </c>
      <c r="I257">
        <v>150000</v>
      </c>
      <c r="J257" s="2">
        <f t="shared" si="3"/>
        <v>45430</v>
      </c>
      <c r="K257" t="str">
        <f>TEXT(Table1[[#This Row],[Order_Date]],"mmm")</f>
        <v>May</v>
      </c>
    </row>
    <row r="258" spans="1:11" x14ac:dyDescent="0.25">
      <c r="A258">
        <v>1257</v>
      </c>
      <c r="B258" s="1" t="s">
        <v>129</v>
      </c>
      <c r="C258" t="s">
        <v>28</v>
      </c>
      <c r="D258" t="s">
        <v>16</v>
      </c>
      <c r="E258" t="s">
        <v>17</v>
      </c>
      <c r="F258" t="s">
        <v>13</v>
      </c>
      <c r="G258">
        <v>1</v>
      </c>
      <c r="H258">
        <v>3000</v>
      </c>
      <c r="I258">
        <v>3000</v>
      </c>
      <c r="J258" s="2">
        <f t="shared" ref="J258:J321" si="4">DATE(RIGHT(B258,4), MID(B258,4,2), LEFT(B258,2))</f>
        <v>45340</v>
      </c>
      <c r="K258" t="str">
        <f>TEXT(Table1[[#This Row],[Order_Date]],"mmm")</f>
        <v>Feb</v>
      </c>
    </row>
    <row r="259" spans="1:11" x14ac:dyDescent="0.25">
      <c r="A259">
        <v>1258</v>
      </c>
      <c r="B259" s="1" t="s">
        <v>226</v>
      </c>
      <c r="C259" t="s">
        <v>30</v>
      </c>
      <c r="D259" t="s">
        <v>33</v>
      </c>
      <c r="E259" t="s">
        <v>17</v>
      </c>
      <c r="F259" t="s">
        <v>13</v>
      </c>
      <c r="G259">
        <v>2</v>
      </c>
      <c r="H259">
        <v>3000</v>
      </c>
      <c r="I259">
        <v>6000</v>
      </c>
      <c r="J259" s="2">
        <f t="shared" si="4"/>
        <v>45556</v>
      </c>
      <c r="K259" t="str">
        <f>TEXT(Table1[[#This Row],[Order_Date]],"mmm")</f>
        <v>Sep</v>
      </c>
    </row>
    <row r="260" spans="1:11" x14ac:dyDescent="0.25">
      <c r="A260">
        <v>1259</v>
      </c>
      <c r="B260" s="1" t="s">
        <v>227</v>
      </c>
      <c r="C260" t="s">
        <v>38</v>
      </c>
      <c r="D260" t="s">
        <v>39</v>
      </c>
      <c r="E260" t="s">
        <v>26</v>
      </c>
      <c r="F260" t="s">
        <v>22</v>
      </c>
      <c r="G260">
        <v>2</v>
      </c>
      <c r="H260">
        <v>2500</v>
      </c>
      <c r="I260">
        <v>5000</v>
      </c>
      <c r="J260" s="2">
        <f t="shared" si="4"/>
        <v>45295</v>
      </c>
      <c r="K260" t="str">
        <f>TEXT(Table1[[#This Row],[Order_Date]],"mmm")</f>
        <v>Jan</v>
      </c>
    </row>
    <row r="261" spans="1:11" x14ac:dyDescent="0.25">
      <c r="A261">
        <v>1260</v>
      </c>
      <c r="B261" s="1" t="s">
        <v>174</v>
      </c>
      <c r="C261" t="s">
        <v>15</v>
      </c>
      <c r="D261" t="s">
        <v>11</v>
      </c>
      <c r="E261" t="s">
        <v>21</v>
      </c>
      <c r="F261" t="s">
        <v>22</v>
      </c>
      <c r="G261">
        <v>5</v>
      </c>
      <c r="H261">
        <v>50000</v>
      </c>
      <c r="I261">
        <v>250000</v>
      </c>
      <c r="J261" s="2">
        <f t="shared" si="4"/>
        <v>45485</v>
      </c>
      <c r="K261" t="str">
        <f>TEXT(Table1[[#This Row],[Order_Date]],"mmm")</f>
        <v>Jul</v>
      </c>
    </row>
    <row r="262" spans="1:11" x14ac:dyDescent="0.25">
      <c r="A262">
        <v>1261</v>
      </c>
      <c r="B262" s="1" t="s">
        <v>228</v>
      </c>
      <c r="C262" t="s">
        <v>19</v>
      </c>
      <c r="D262" t="s">
        <v>11</v>
      </c>
      <c r="E262" t="s">
        <v>48</v>
      </c>
      <c r="F262" t="s">
        <v>44</v>
      </c>
      <c r="G262">
        <v>1</v>
      </c>
      <c r="H262">
        <v>5000</v>
      </c>
      <c r="I262">
        <v>5000</v>
      </c>
      <c r="J262" s="2">
        <f t="shared" si="4"/>
        <v>45307</v>
      </c>
      <c r="K262" t="str">
        <f>TEXT(Table1[[#This Row],[Order_Date]],"mmm")</f>
        <v>Jan</v>
      </c>
    </row>
    <row r="263" spans="1:11" x14ac:dyDescent="0.25">
      <c r="A263">
        <v>1262</v>
      </c>
      <c r="B263" s="1" t="s">
        <v>229</v>
      </c>
      <c r="C263" t="s">
        <v>10</v>
      </c>
      <c r="D263" t="s">
        <v>16</v>
      </c>
      <c r="E263" t="s">
        <v>21</v>
      </c>
      <c r="F263" t="s">
        <v>22</v>
      </c>
      <c r="G263">
        <v>4</v>
      </c>
      <c r="H263">
        <v>50000</v>
      </c>
      <c r="I263">
        <v>200000</v>
      </c>
      <c r="J263" s="2">
        <f t="shared" si="4"/>
        <v>45638</v>
      </c>
      <c r="K263" t="str">
        <f>TEXT(Table1[[#This Row],[Order_Date]],"mmm")</f>
        <v>Dec</v>
      </c>
    </row>
    <row r="264" spans="1:11" x14ac:dyDescent="0.25">
      <c r="A264">
        <v>1263</v>
      </c>
      <c r="B264" s="1" t="s">
        <v>144</v>
      </c>
      <c r="C264" t="s">
        <v>28</v>
      </c>
      <c r="D264" t="s">
        <v>47</v>
      </c>
      <c r="E264" t="s">
        <v>35</v>
      </c>
      <c r="F264" t="s">
        <v>22</v>
      </c>
      <c r="G264">
        <v>4</v>
      </c>
      <c r="H264">
        <v>20000</v>
      </c>
      <c r="I264">
        <v>80000</v>
      </c>
      <c r="J264" s="2">
        <f t="shared" si="4"/>
        <v>45418</v>
      </c>
      <c r="K264" t="str">
        <f>TEXT(Table1[[#This Row],[Order_Date]],"mmm")</f>
        <v>May</v>
      </c>
    </row>
    <row r="265" spans="1:11" x14ac:dyDescent="0.25">
      <c r="A265">
        <v>1264</v>
      </c>
      <c r="B265" s="1" t="s">
        <v>115</v>
      </c>
      <c r="C265" t="s">
        <v>30</v>
      </c>
      <c r="D265" t="s">
        <v>16</v>
      </c>
      <c r="E265" t="s">
        <v>17</v>
      </c>
      <c r="F265" t="s">
        <v>13</v>
      </c>
      <c r="G265">
        <v>2</v>
      </c>
      <c r="H265">
        <v>3000</v>
      </c>
      <c r="I265">
        <v>6000</v>
      </c>
      <c r="J265" s="2">
        <f t="shared" si="4"/>
        <v>45605</v>
      </c>
      <c r="K265" t="str">
        <f>TEXT(Table1[[#This Row],[Order_Date]],"mmm")</f>
        <v>Nov</v>
      </c>
    </row>
    <row r="266" spans="1:11" x14ac:dyDescent="0.25">
      <c r="A266">
        <v>1265</v>
      </c>
      <c r="B266" s="1" t="s">
        <v>183</v>
      </c>
      <c r="C266" t="s">
        <v>15</v>
      </c>
      <c r="D266" t="s">
        <v>20</v>
      </c>
      <c r="E266" t="s">
        <v>51</v>
      </c>
      <c r="F266" t="s">
        <v>13</v>
      </c>
      <c r="G266">
        <v>5</v>
      </c>
      <c r="H266">
        <v>2000</v>
      </c>
      <c r="I266">
        <v>10000</v>
      </c>
      <c r="J266" s="2">
        <f t="shared" si="4"/>
        <v>45462</v>
      </c>
      <c r="K266" t="str">
        <f>TEXT(Table1[[#This Row],[Order_Date]],"mmm")</f>
        <v>Jun</v>
      </c>
    </row>
    <row r="267" spans="1:11" x14ac:dyDescent="0.25">
      <c r="A267">
        <v>1266</v>
      </c>
      <c r="B267" s="1" t="s">
        <v>230</v>
      </c>
      <c r="C267" t="s">
        <v>57</v>
      </c>
      <c r="D267" t="s">
        <v>20</v>
      </c>
      <c r="E267" t="s">
        <v>48</v>
      </c>
      <c r="F267" t="s">
        <v>44</v>
      </c>
      <c r="G267">
        <v>4</v>
      </c>
      <c r="H267">
        <v>5000</v>
      </c>
      <c r="I267">
        <v>20000</v>
      </c>
      <c r="J267" s="2">
        <f t="shared" si="4"/>
        <v>45570</v>
      </c>
      <c r="K267" t="str">
        <f>TEXT(Table1[[#This Row],[Order_Date]],"mmm")</f>
        <v>Oct</v>
      </c>
    </row>
    <row r="268" spans="1:11" x14ac:dyDescent="0.25">
      <c r="A268">
        <v>1267</v>
      </c>
      <c r="B268" s="1" t="s">
        <v>173</v>
      </c>
      <c r="C268" t="s">
        <v>30</v>
      </c>
      <c r="D268" t="s">
        <v>11</v>
      </c>
      <c r="E268" t="s">
        <v>43</v>
      </c>
      <c r="F268" t="s">
        <v>44</v>
      </c>
      <c r="G268">
        <v>4</v>
      </c>
      <c r="H268">
        <v>1500</v>
      </c>
      <c r="I268">
        <v>6000</v>
      </c>
      <c r="J268" s="2">
        <f t="shared" si="4"/>
        <v>45314</v>
      </c>
      <c r="K268" t="str">
        <f>TEXT(Table1[[#This Row],[Order_Date]],"mmm")</f>
        <v>Jan</v>
      </c>
    </row>
    <row r="269" spans="1:11" x14ac:dyDescent="0.25">
      <c r="A269">
        <v>1268</v>
      </c>
      <c r="B269" s="1" t="s">
        <v>86</v>
      </c>
      <c r="C269" t="s">
        <v>32</v>
      </c>
      <c r="D269" t="s">
        <v>33</v>
      </c>
      <c r="E269" t="s">
        <v>26</v>
      </c>
      <c r="F269" t="s">
        <v>22</v>
      </c>
      <c r="G269">
        <v>5</v>
      </c>
      <c r="H269">
        <v>2500</v>
      </c>
      <c r="I269">
        <v>12500</v>
      </c>
      <c r="J269" s="2">
        <f t="shared" si="4"/>
        <v>45579</v>
      </c>
      <c r="K269" t="str">
        <f>TEXT(Table1[[#This Row],[Order_Date]],"mmm")</f>
        <v>Oct</v>
      </c>
    </row>
    <row r="270" spans="1:11" x14ac:dyDescent="0.25">
      <c r="A270">
        <v>1269</v>
      </c>
      <c r="B270" s="1" t="s">
        <v>231</v>
      </c>
      <c r="C270" t="s">
        <v>32</v>
      </c>
      <c r="D270" t="s">
        <v>25</v>
      </c>
      <c r="E270" t="s">
        <v>43</v>
      </c>
      <c r="F270" t="s">
        <v>44</v>
      </c>
      <c r="G270">
        <v>3</v>
      </c>
      <c r="H270">
        <v>1500</v>
      </c>
      <c r="I270">
        <v>4500</v>
      </c>
      <c r="J270" s="2">
        <f t="shared" si="4"/>
        <v>45457</v>
      </c>
      <c r="K270" t="str">
        <f>TEXT(Table1[[#This Row],[Order_Date]],"mmm")</f>
        <v>Jun</v>
      </c>
    </row>
    <row r="271" spans="1:11" x14ac:dyDescent="0.25">
      <c r="A271">
        <v>1270</v>
      </c>
      <c r="B271" s="1" t="s">
        <v>127</v>
      </c>
      <c r="C271" t="s">
        <v>50</v>
      </c>
      <c r="D271" t="s">
        <v>47</v>
      </c>
      <c r="E271" t="s">
        <v>12</v>
      </c>
      <c r="F271" t="s">
        <v>13</v>
      </c>
      <c r="G271">
        <v>2</v>
      </c>
      <c r="H271">
        <v>800</v>
      </c>
      <c r="I271">
        <v>1600</v>
      </c>
      <c r="J271" s="2">
        <f t="shared" si="4"/>
        <v>45387</v>
      </c>
      <c r="K271" t="str">
        <f>TEXT(Table1[[#This Row],[Order_Date]],"mmm")</f>
        <v>Apr</v>
      </c>
    </row>
    <row r="272" spans="1:11" x14ac:dyDescent="0.25">
      <c r="A272">
        <v>1271</v>
      </c>
      <c r="B272" s="1" t="s">
        <v>232</v>
      </c>
      <c r="C272" t="s">
        <v>19</v>
      </c>
      <c r="D272" t="s">
        <v>11</v>
      </c>
      <c r="E272" t="s">
        <v>51</v>
      </c>
      <c r="F272" t="s">
        <v>13</v>
      </c>
      <c r="G272">
        <v>3</v>
      </c>
      <c r="H272">
        <v>2000</v>
      </c>
      <c r="I272">
        <v>6000</v>
      </c>
      <c r="J272" s="2">
        <f t="shared" si="4"/>
        <v>45372</v>
      </c>
      <c r="K272" t="str">
        <f>TEXT(Table1[[#This Row],[Order_Date]],"mmm")</f>
        <v>Mar</v>
      </c>
    </row>
    <row r="273" spans="1:11" x14ac:dyDescent="0.25">
      <c r="A273">
        <v>1272</v>
      </c>
      <c r="B273" s="1" t="s">
        <v>233</v>
      </c>
      <c r="C273" t="s">
        <v>30</v>
      </c>
      <c r="D273" t="s">
        <v>11</v>
      </c>
      <c r="E273" t="s">
        <v>21</v>
      </c>
      <c r="F273" t="s">
        <v>22</v>
      </c>
      <c r="G273">
        <v>4</v>
      </c>
      <c r="H273">
        <v>50000</v>
      </c>
      <c r="I273">
        <v>200000</v>
      </c>
      <c r="J273" s="2">
        <f t="shared" si="4"/>
        <v>45501</v>
      </c>
      <c r="K273" t="str">
        <f>TEXT(Table1[[#This Row],[Order_Date]],"mmm")</f>
        <v>Jul</v>
      </c>
    </row>
    <row r="274" spans="1:11" x14ac:dyDescent="0.25">
      <c r="A274">
        <v>1273</v>
      </c>
      <c r="B274" s="1" t="s">
        <v>214</v>
      </c>
      <c r="C274" t="s">
        <v>57</v>
      </c>
      <c r="D274" t="s">
        <v>47</v>
      </c>
      <c r="E274" t="s">
        <v>43</v>
      </c>
      <c r="F274" t="s">
        <v>44</v>
      </c>
      <c r="G274">
        <v>4</v>
      </c>
      <c r="H274">
        <v>1500</v>
      </c>
      <c r="I274">
        <v>6000</v>
      </c>
      <c r="J274" s="2">
        <f t="shared" si="4"/>
        <v>45389</v>
      </c>
      <c r="K274" t="str">
        <f>TEXT(Table1[[#This Row],[Order_Date]],"mmm")</f>
        <v>Apr</v>
      </c>
    </row>
    <row r="275" spans="1:11" x14ac:dyDescent="0.25">
      <c r="A275">
        <v>1274</v>
      </c>
      <c r="B275" s="1" t="s">
        <v>164</v>
      </c>
      <c r="C275" t="s">
        <v>42</v>
      </c>
      <c r="D275" t="s">
        <v>25</v>
      </c>
      <c r="E275" t="s">
        <v>51</v>
      </c>
      <c r="F275" t="s">
        <v>13</v>
      </c>
      <c r="G275">
        <v>3</v>
      </c>
      <c r="H275">
        <v>2000</v>
      </c>
      <c r="I275">
        <v>6000</v>
      </c>
      <c r="J275" s="2">
        <f t="shared" si="4"/>
        <v>45315</v>
      </c>
      <c r="K275" t="str">
        <f>TEXT(Table1[[#This Row],[Order_Date]],"mmm")</f>
        <v>Jan</v>
      </c>
    </row>
    <row r="276" spans="1:11" x14ac:dyDescent="0.25">
      <c r="A276">
        <v>1275</v>
      </c>
      <c r="B276" s="1" t="s">
        <v>234</v>
      </c>
      <c r="C276" t="s">
        <v>32</v>
      </c>
      <c r="D276" t="s">
        <v>39</v>
      </c>
      <c r="E276" t="s">
        <v>51</v>
      </c>
      <c r="F276" t="s">
        <v>13</v>
      </c>
      <c r="G276">
        <v>3</v>
      </c>
      <c r="H276">
        <v>2000</v>
      </c>
      <c r="I276">
        <v>6000</v>
      </c>
      <c r="J276" s="2">
        <f t="shared" si="4"/>
        <v>45634</v>
      </c>
      <c r="K276" t="str">
        <f>TEXT(Table1[[#This Row],[Order_Date]],"mmm")</f>
        <v>Dec</v>
      </c>
    </row>
    <row r="277" spans="1:11" x14ac:dyDescent="0.25">
      <c r="A277">
        <v>1276</v>
      </c>
      <c r="B277" s="1" t="s">
        <v>235</v>
      </c>
      <c r="C277" t="s">
        <v>32</v>
      </c>
      <c r="D277" t="s">
        <v>47</v>
      </c>
      <c r="E277" t="s">
        <v>35</v>
      </c>
      <c r="F277" t="s">
        <v>22</v>
      </c>
      <c r="G277">
        <v>4</v>
      </c>
      <c r="H277">
        <v>20000</v>
      </c>
      <c r="I277">
        <v>80000</v>
      </c>
      <c r="J277" s="2">
        <f t="shared" si="4"/>
        <v>45596</v>
      </c>
      <c r="K277" t="str">
        <f>TEXT(Table1[[#This Row],[Order_Date]],"mmm")</f>
        <v>Oct</v>
      </c>
    </row>
    <row r="278" spans="1:11" x14ac:dyDescent="0.25">
      <c r="A278">
        <v>1277</v>
      </c>
      <c r="B278" s="1" t="s">
        <v>236</v>
      </c>
      <c r="C278" t="s">
        <v>53</v>
      </c>
      <c r="D278" t="s">
        <v>33</v>
      </c>
      <c r="E278" t="s">
        <v>51</v>
      </c>
      <c r="F278" t="s">
        <v>13</v>
      </c>
      <c r="G278">
        <v>1</v>
      </c>
      <c r="H278">
        <v>2000</v>
      </c>
      <c r="I278">
        <v>2000</v>
      </c>
      <c r="J278" s="2">
        <f t="shared" si="4"/>
        <v>45624</v>
      </c>
      <c r="K278" t="str">
        <f>TEXT(Table1[[#This Row],[Order_Date]],"mmm")</f>
        <v>Nov</v>
      </c>
    </row>
    <row r="279" spans="1:11" x14ac:dyDescent="0.25">
      <c r="A279">
        <v>1278</v>
      </c>
      <c r="B279" s="1" t="s">
        <v>85</v>
      </c>
      <c r="C279" t="s">
        <v>30</v>
      </c>
      <c r="D279" t="s">
        <v>16</v>
      </c>
      <c r="E279" t="s">
        <v>17</v>
      </c>
      <c r="F279" t="s">
        <v>13</v>
      </c>
      <c r="G279">
        <v>5</v>
      </c>
      <c r="H279">
        <v>3000</v>
      </c>
      <c r="I279">
        <v>15000</v>
      </c>
      <c r="J279" s="2">
        <f t="shared" si="4"/>
        <v>45600</v>
      </c>
      <c r="K279" t="str">
        <f>TEXT(Table1[[#This Row],[Order_Date]],"mmm")</f>
        <v>Nov</v>
      </c>
    </row>
    <row r="280" spans="1:11" x14ac:dyDescent="0.25">
      <c r="A280">
        <v>1279</v>
      </c>
      <c r="B280" s="1" t="s">
        <v>237</v>
      </c>
      <c r="C280" t="s">
        <v>32</v>
      </c>
      <c r="D280" t="s">
        <v>47</v>
      </c>
      <c r="E280" t="s">
        <v>51</v>
      </c>
      <c r="F280" t="s">
        <v>13</v>
      </c>
      <c r="G280">
        <v>3</v>
      </c>
      <c r="H280">
        <v>2000</v>
      </c>
      <c r="I280">
        <v>6000</v>
      </c>
      <c r="J280" s="2">
        <f t="shared" si="4"/>
        <v>45450</v>
      </c>
      <c r="K280" t="str">
        <f>TEXT(Table1[[#This Row],[Order_Date]],"mmm")</f>
        <v>Jun</v>
      </c>
    </row>
    <row r="281" spans="1:11" x14ac:dyDescent="0.25">
      <c r="A281">
        <v>1280</v>
      </c>
      <c r="B281" s="1" t="s">
        <v>238</v>
      </c>
      <c r="C281" t="s">
        <v>38</v>
      </c>
      <c r="D281" t="s">
        <v>47</v>
      </c>
      <c r="E281" t="s">
        <v>51</v>
      </c>
      <c r="F281" t="s">
        <v>13</v>
      </c>
      <c r="G281">
        <v>1</v>
      </c>
      <c r="H281">
        <v>2000</v>
      </c>
      <c r="I281">
        <v>2000</v>
      </c>
      <c r="J281" s="2">
        <f t="shared" si="4"/>
        <v>45351</v>
      </c>
      <c r="K281" t="str">
        <f>TEXT(Table1[[#This Row],[Order_Date]],"mmm")</f>
        <v>Feb</v>
      </c>
    </row>
    <row r="282" spans="1:11" x14ac:dyDescent="0.25">
      <c r="A282">
        <v>1281</v>
      </c>
      <c r="B282" s="1" t="s">
        <v>239</v>
      </c>
      <c r="C282" t="s">
        <v>57</v>
      </c>
      <c r="D282" t="s">
        <v>39</v>
      </c>
      <c r="E282" t="s">
        <v>35</v>
      </c>
      <c r="F282" t="s">
        <v>22</v>
      </c>
      <c r="G282">
        <v>1</v>
      </c>
      <c r="H282">
        <v>20000</v>
      </c>
      <c r="I282">
        <v>20000</v>
      </c>
      <c r="J282" s="2">
        <f t="shared" si="4"/>
        <v>45441</v>
      </c>
      <c r="K282" t="str">
        <f>TEXT(Table1[[#This Row],[Order_Date]],"mmm")</f>
        <v>May</v>
      </c>
    </row>
    <row r="283" spans="1:11" x14ac:dyDescent="0.25">
      <c r="A283">
        <v>1282</v>
      </c>
      <c r="B283" s="1" t="s">
        <v>240</v>
      </c>
      <c r="C283" t="s">
        <v>10</v>
      </c>
      <c r="D283" t="s">
        <v>47</v>
      </c>
      <c r="E283" t="s">
        <v>12</v>
      </c>
      <c r="F283" t="s">
        <v>13</v>
      </c>
      <c r="G283">
        <v>3</v>
      </c>
      <c r="H283">
        <v>800</v>
      </c>
      <c r="I283">
        <v>2400</v>
      </c>
      <c r="J283" s="2">
        <f t="shared" si="4"/>
        <v>45572</v>
      </c>
      <c r="K283" t="str">
        <f>TEXT(Table1[[#This Row],[Order_Date]],"mmm")</f>
        <v>Oct</v>
      </c>
    </row>
    <row r="284" spans="1:11" x14ac:dyDescent="0.25">
      <c r="A284">
        <v>1283</v>
      </c>
      <c r="B284" s="1" t="s">
        <v>49</v>
      </c>
      <c r="C284" t="s">
        <v>15</v>
      </c>
      <c r="D284" t="s">
        <v>39</v>
      </c>
      <c r="E284" t="s">
        <v>12</v>
      </c>
      <c r="F284" t="s">
        <v>13</v>
      </c>
      <c r="G284">
        <v>1</v>
      </c>
      <c r="H284">
        <v>800</v>
      </c>
      <c r="I284">
        <v>800</v>
      </c>
      <c r="J284" s="2">
        <f t="shared" si="4"/>
        <v>45505</v>
      </c>
      <c r="K284" t="str">
        <f>TEXT(Table1[[#This Row],[Order_Date]],"mmm")</f>
        <v>Aug</v>
      </c>
    </row>
    <row r="285" spans="1:11" x14ac:dyDescent="0.25">
      <c r="A285">
        <v>1284</v>
      </c>
      <c r="B285" s="1" t="s">
        <v>241</v>
      </c>
      <c r="C285" t="s">
        <v>57</v>
      </c>
      <c r="D285" t="s">
        <v>39</v>
      </c>
      <c r="E285" t="s">
        <v>26</v>
      </c>
      <c r="F285" t="s">
        <v>22</v>
      </c>
      <c r="G285">
        <v>1</v>
      </c>
      <c r="H285">
        <v>2500</v>
      </c>
      <c r="I285">
        <v>2500</v>
      </c>
      <c r="J285" s="2">
        <f t="shared" si="4"/>
        <v>45361</v>
      </c>
      <c r="K285" t="str">
        <f>TEXT(Table1[[#This Row],[Order_Date]],"mmm")</f>
        <v>Mar</v>
      </c>
    </row>
    <row r="286" spans="1:11" x14ac:dyDescent="0.25">
      <c r="A286">
        <v>1285</v>
      </c>
      <c r="B286" s="1" t="s">
        <v>242</v>
      </c>
      <c r="C286" t="s">
        <v>57</v>
      </c>
      <c r="D286" t="s">
        <v>39</v>
      </c>
      <c r="E286" t="s">
        <v>48</v>
      </c>
      <c r="F286" t="s">
        <v>44</v>
      </c>
      <c r="G286">
        <v>3</v>
      </c>
      <c r="H286">
        <v>5000</v>
      </c>
      <c r="I286">
        <v>15000</v>
      </c>
      <c r="J286" s="2">
        <f t="shared" si="4"/>
        <v>45541</v>
      </c>
      <c r="K286" t="str">
        <f>TEXT(Table1[[#This Row],[Order_Date]],"mmm")</f>
        <v>Sep</v>
      </c>
    </row>
    <row r="287" spans="1:11" x14ac:dyDescent="0.25">
      <c r="A287">
        <v>1286</v>
      </c>
      <c r="B287" s="1" t="s">
        <v>152</v>
      </c>
      <c r="C287" t="s">
        <v>57</v>
      </c>
      <c r="D287" t="s">
        <v>20</v>
      </c>
      <c r="E287" t="s">
        <v>26</v>
      </c>
      <c r="F287" t="s">
        <v>22</v>
      </c>
      <c r="G287">
        <v>3</v>
      </c>
      <c r="H287">
        <v>2500</v>
      </c>
      <c r="I287">
        <v>7500</v>
      </c>
      <c r="J287" s="2">
        <f t="shared" si="4"/>
        <v>45630</v>
      </c>
      <c r="K287" t="str">
        <f>TEXT(Table1[[#This Row],[Order_Date]],"mmm")</f>
        <v>Dec</v>
      </c>
    </row>
    <row r="288" spans="1:11" x14ac:dyDescent="0.25">
      <c r="A288">
        <v>1287</v>
      </c>
      <c r="B288" s="1" t="s">
        <v>62</v>
      </c>
      <c r="C288" t="s">
        <v>50</v>
      </c>
      <c r="D288" t="s">
        <v>39</v>
      </c>
      <c r="E288" t="s">
        <v>48</v>
      </c>
      <c r="F288" t="s">
        <v>44</v>
      </c>
      <c r="G288">
        <v>4</v>
      </c>
      <c r="H288">
        <v>5000</v>
      </c>
      <c r="I288">
        <v>20000</v>
      </c>
      <c r="J288" s="2">
        <f t="shared" si="4"/>
        <v>45321</v>
      </c>
      <c r="K288" t="str">
        <f>TEXT(Table1[[#This Row],[Order_Date]],"mmm")</f>
        <v>Jan</v>
      </c>
    </row>
    <row r="289" spans="1:11" x14ac:dyDescent="0.25">
      <c r="A289">
        <v>1288</v>
      </c>
      <c r="B289" s="1" t="s">
        <v>243</v>
      </c>
      <c r="C289" t="s">
        <v>32</v>
      </c>
      <c r="D289" t="s">
        <v>47</v>
      </c>
      <c r="E289" t="s">
        <v>21</v>
      </c>
      <c r="F289" t="s">
        <v>22</v>
      </c>
      <c r="G289">
        <v>2</v>
      </c>
      <c r="H289">
        <v>50000</v>
      </c>
      <c r="I289">
        <v>100000</v>
      </c>
      <c r="J289" s="2">
        <f t="shared" si="4"/>
        <v>45333</v>
      </c>
      <c r="K289" t="str">
        <f>TEXT(Table1[[#This Row],[Order_Date]],"mmm")</f>
        <v>Feb</v>
      </c>
    </row>
    <row r="290" spans="1:11" x14ac:dyDescent="0.25">
      <c r="A290">
        <v>1289</v>
      </c>
      <c r="B290" s="1" t="s">
        <v>97</v>
      </c>
      <c r="C290" t="s">
        <v>38</v>
      </c>
      <c r="D290" t="s">
        <v>16</v>
      </c>
      <c r="E290" t="s">
        <v>35</v>
      </c>
      <c r="F290" t="s">
        <v>22</v>
      </c>
      <c r="G290">
        <v>5</v>
      </c>
      <c r="H290">
        <v>20000</v>
      </c>
      <c r="I290">
        <v>100000</v>
      </c>
      <c r="J290" s="2">
        <f t="shared" si="4"/>
        <v>45311</v>
      </c>
      <c r="K290" t="str">
        <f>TEXT(Table1[[#This Row],[Order_Date]],"mmm")</f>
        <v>Jan</v>
      </c>
    </row>
    <row r="291" spans="1:11" x14ac:dyDescent="0.25">
      <c r="A291">
        <v>1290</v>
      </c>
      <c r="B291" s="1" t="s">
        <v>197</v>
      </c>
      <c r="C291" t="s">
        <v>38</v>
      </c>
      <c r="D291" t="s">
        <v>16</v>
      </c>
      <c r="E291" t="s">
        <v>21</v>
      </c>
      <c r="F291" t="s">
        <v>22</v>
      </c>
      <c r="G291">
        <v>3</v>
      </c>
      <c r="H291">
        <v>50000</v>
      </c>
      <c r="I291">
        <v>150000</v>
      </c>
      <c r="J291" s="2">
        <f t="shared" si="4"/>
        <v>45434</v>
      </c>
      <c r="K291" t="str">
        <f>TEXT(Table1[[#This Row],[Order_Date]],"mmm")</f>
        <v>May</v>
      </c>
    </row>
    <row r="292" spans="1:11" x14ac:dyDescent="0.25">
      <c r="A292">
        <v>1291</v>
      </c>
      <c r="B292" s="1" t="s">
        <v>66</v>
      </c>
      <c r="C292" t="s">
        <v>57</v>
      </c>
      <c r="D292" t="s">
        <v>20</v>
      </c>
      <c r="E292" t="s">
        <v>51</v>
      </c>
      <c r="F292" t="s">
        <v>13</v>
      </c>
      <c r="G292">
        <v>3</v>
      </c>
      <c r="H292">
        <v>2000</v>
      </c>
      <c r="I292">
        <v>6000</v>
      </c>
      <c r="J292" s="2">
        <f t="shared" si="4"/>
        <v>45568</v>
      </c>
      <c r="K292" t="str">
        <f>TEXT(Table1[[#This Row],[Order_Date]],"mmm")</f>
        <v>Oct</v>
      </c>
    </row>
    <row r="293" spans="1:11" x14ac:dyDescent="0.25">
      <c r="A293">
        <v>1292</v>
      </c>
      <c r="B293" s="1" t="s">
        <v>244</v>
      </c>
      <c r="C293" t="s">
        <v>53</v>
      </c>
      <c r="D293" t="s">
        <v>33</v>
      </c>
      <c r="E293" t="s">
        <v>17</v>
      </c>
      <c r="F293" t="s">
        <v>13</v>
      </c>
      <c r="G293">
        <v>5</v>
      </c>
      <c r="H293">
        <v>3000</v>
      </c>
      <c r="I293">
        <v>15000</v>
      </c>
      <c r="J293" s="2">
        <f t="shared" si="4"/>
        <v>45346</v>
      </c>
      <c r="K293" t="str">
        <f>TEXT(Table1[[#This Row],[Order_Date]],"mmm")</f>
        <v>Feb</v>
      </c>
    </row>
    <row r="294" spans="1:11" x14ac:dyDescent="0.25">
      <c r="A294">
        <v>1293</v>
      </c>
      <c r="B294" s="1" t="s">
        <v>245</v>
      </c>
      <c r="C294" t="s">
        <v>57</v>
      </c>
      <c r="D294" t="s">
        <v>39</v>
      </c>
      <c r="E294" t="s">
        <v>48</v>
      </c>
      <c r="F294" t="s">
        <v>44</v>
      </c>
      <c r="G294">
        <v>4</v>
      </c>
      <c r="H294">
        <v>5000</v>
      </c>
      <c r="I294">
        <v>20000</v>
      </c>
      <c r="J294" s="2">
        <f t="shared" si="4"/>
        <v>45398</v>
      </c>
      <c r="K294" t="str">
        <f>TEXT(Table1[[#This Row],[Order_Date]],"mmm")</f>
        <v>Apr</v>
      </c>
    </row>
    <row r="295" spans="1:11" x14ac:dyDescent="0.25">
      <c r="A295">
        <v>1294</v>
      </c>
      <c r="B295" s="1" t="s">
        <v>127</v>
      </c>
      <c r="C295" t="s">
        <v>15</v>
      </c>
      <c r="D295" t="s">
        <v>16</v>
      </c>
      <c r="E295" t="s">
        <v>26</v>
      </c>
      <c r="F295" t="s">
        <v>22</v>
      </c>
      <c r="G295">
        <v>5</v>
      </c>
      <c r="H295">
        <v>2500</v>
      </c>
      <c r="I295">
        <v>12500</v>
      </c>
      <c r="J295" s="2">
        <f t="shared" si="4"/>
        <v>45387</v>
      </c>
      <c r="K295" t="str">
        <f>TEXT(Table1[[#This Row],[Order_Date]],"mmm")</f>
        <v>Apr</v>
      </c>
    </row>
    <row r="296" spans="1:11" x14ac:dyDescent="0.25">
      <c r="A296">
        <v>1295</v>
      </c>
      <c r="B296" s="1" t="s">
        <v>246</v>
      </c>
      <c r="C296" t="s">
        <v>28</v>
      </c>
      <c r="D296" t="s">
        <v>33</v>
      </c>
      <c r="E296" t="s">
        <v>51</v>
      </c>
      <c r="F296" t="s">
        <v>13</v>
      </c>
      <c r="G296">
        <v>3</v>
      </c>
      <c r="H296">
        <v>2000</v>
      </c>
      <c r="I296">
        <v>6000</v>
      </c>
      <c r="J296" s="2">
        <f t="shared" si="4"/>
        <v>45619</v>
      </c>
      <c r="K296" t="str">
        <f>TEXT(Table1[[#This Row],[Order_Date]],"mmm")</f>
        <v>Nov</v>
      </c>
    </row>
    <row r="297" spans="1:11" x14ac:dyDescent="0.25">
      <c r="A297">
        <v>1296</v>
      </c>
      <c r="B297" s="1" t="s">
        <v>247</v>
      </c>
      <c r="C297" t="s">
        <v>24</v>
      </c>
      <c r="D297" t="s">
        <v>47</v>
      </c>
      <c r="E297" t="s">
        <v>35</v>
      </c>
      <c r="F297" t="s">
        <v>22</v>
      </c>
      <c r="G297">
        <v>5</v>
      </c>
      <c r="H297">
        <v>20000</v>
      </c>
      <c r="I297">
        <v>100000</v>
      </c>
      <c r="J297" s="2">
        <f t="shared" si="4"/>
        <v>45366</v>
      </c>
      <c r="K297" t="str">
        <f>TEXT(Table1[[#This Row],[Order_Date]],"mmm")</f>
        <v>Mar</v>
      </c>
    </row>
    <row r="298" spans="1:11" x14ac:dyDescent="0.25">
      <c r="A298">
        <v>1297</v>
      </c>
      <c r="B298" s="1" t="s">
        <v>248</v>
      </c>
      <c r="C298" t="s">
        <v>53</v>
      </c>
      <c r="D298" t="s">
        <v>11</v>
      </c>
      <c r="E298" t="s">
        <v>12</v>
      </c>
      <c r="F298" t="s">
        <v>13</v>
      </c>
      <c r="G298">
        <v>3</v>
      </c>
      <c r="H298">
        <v>800</v>
      </c>
      <c r="I298">
        <v>2400</v>
      </c>
      <c r="J298" s="2">
        <f t="shared" si="4"/>
        <v>45590</v>
      </c>
      <c r="K298" t="str">
        <f>TEXT(Table1[[#This Row],[Order_Date]],"mmm")</f>
        <v>Oct</v>
      </c>
    </row>
    <row r="299" spans="1:11" x14ac:dyDescent="0.25">
      <c r="A299">
        <v>1298</v>
      </c>
      <c r="B299" s="1" t="s">
        <v>159</v>
      </c>
      <c r="C299" t="s">
        <v>15</v>
      </c>
      <c r="D299" t="s">
        <v>33</v>
      </c>
      <c r="E299" t="s">
        <v>43</v>
      </c>
      <c r="F299" t="s">
        <v>44</v>
      </c>
      <c r="G299">
        <v>2</v>
      </c>
      <c r="H299">
        <v>1500</v>
      </c>
      <c r="I299">
        <v>3000</v>
      </c>
      <c r="J299" s="2">
        <f t="shared" si="4"/>
        <v>45582</v>
      </c>
      <c r="K299" t="str">
        <f>TEXT(Table1[[#This Row],[Order_Date]],"mmm")</f>
        <v>Oct</v>
      </c>
    </row>
    <row r="300" spans="1:11" x14ac:dyDescent="0.25">
      <c r="A300">
        <v>1299</v>
      </c>
      <c r="B300" s="1" t="s">
        <v>94</v>
      </c>
      <c r="C300" t="s">
        <v>24</v>
      </c>
      <c r="D300" t="s">
        <v>33</v>
      </c>
      <c r="E300" t="s">
        <v>51</v>
      </c>
      <c r="F300" t="s">
        <v>13</v>
      </c>
      <c r="G300">
        <v>3</v>
      </c>
      <c r="H300">
        <v>2000</v>
      </c>
      <c r="I300">
        <v>6000</v>
      </c>
      <c r="J300" s="2">
        <f t="shared" si="4"/>
        <v>45553</v>
      </c>
      <c r="K300" t="str">
        <f>TEXT(Table1[[#This Row],[Order_Date]],"mmm")</f>
        <v>Sep</v>
      </c>
    </row>
    <row r="301" spans="1:11" x14ac:dyDescent="0.25">
      <c r="A301">
        <v>1300</v>
      </c>
      <c r="B301" s="1" t="s">
        <v>249</v>
      </c>
      <c r="C301" t="s">
        <v>28</v>
      </c>
      <c r="D301" t="s">
        <v>33</v>
      </c>
      <c r="E301" t="s">
        <v>43</v>
      </c>
      <c r="F301" t="s">
        <v>44</v>
      </c>
      <c r="G301">
        <v>2</v>
      </c>
      <c r="H301">
        <v>1500</v>
      </c>
      <c r="I301">
        <v>3000</v>
      </c>
      <c r="J301" s="2">
        <f t="shared" si="4"/>
        <v>45531</v>
      </c>
      <c r="K301" t="str">
        <f>TEXT(Table1[[#This Row],[Order_Date]],"mmm")</f>
        <v>Aug</v>
      </c>
    </row>
    <row r="302" spans="1:11" x14ac:dyDescent="0.25">
      <c r="A302">
        <v>1301</v>
      </c>
      <c r="B302" s="1" t="s">
        <v>181</v>
      </c>
      <c r="C302" t="s">
        <v>30</v>
      </c>
      <c r="D302" t="s">
        <v>47</v>
      </c>
      <c r="E302" t="s">
        <v>43</v>
      </c>
      <c r="F302" t="s">
        <v>44</v>
      </c>
      <c r="G302">
        <v>2</v>
      </c>
      <c r="H302">
        <v>1500</v>
      </c>
      <c r="I302">
        <v>3000</v>
      </c>
      <c r="J302" s="2">
        <f t="shared" si="4"/>
        <v>45455</v>
      </c>
      <c r="K302" t="str">
        <f>TEXT(Table1[[#This Row],[Order_Date]],"mmm")</f>
        <v>Jun</v>
      </c>
    </row>
    <row r="303" spans="1:11" x14ac:dyDescent="0.25">
      <c r="A303">
        <v>1302</v>
      </c>
      <c r="B303" s="1" t="s">
        <v>219</v>
      </c>
      <c r="C303" t="s">
        <v>32</v>
      </c>
      <c r="D303" t="s">
        <v>16</v>
      </c>
      <c r="E303" t="s">
        <v>43</v>
      </c>
      <c r="F303" t="s">
        <v>44</v>
      </c>
      <c r="G303">
        <v>1</v>
      </c>
      <c r="H303">
        <v>1500</v>
      </c>
      <c r="I303">
        <v>1500</v>
      </c>
      <c r="J303" s="2">
        <f t="shared" si="4"/>
        <v>45447</v>
      </c>
      <c r="K303" t="str">
        <f>TEXT(Table1[[#This Row],[Order_Date]],"mmm")</f>
        <v>Jun</v>
      </c>
    </row>
    <row r="304" spans="1:11" x14ac:dyDescent="0.25">
      <c r="A304">
        <v>1303</v>
      </c>
      <c r="B304" s="1" t="s">
        <v>250</v>
      </c>
      <c r="C304" t="s">
        <v>57</v>
      </c>
      <c r="D304" t="s">
        <v>16</v>
      </c>
      <c r="E304" t="s">
        <v>51</v>
      </c>
      <c r="F304" t="s">
        <v>13</v>
      </c>
      <c r="G304">
        <v>4</v>
      </c>
      <c r="H304">
        <v>2000</v>
      </c>
      <c r="I304">
        <v>8000</v>
      </c>
      <c r="J304" s="2">
        <f t="shared" si="4"/>
        <v>45503</v>
      </c>
      <c r="K304" t="str">
        <f>TEXT(Table1[[#This Row],[Order_Date]],"mmm")</f>
        <v>Jul</v>
      </c>
    </row>
    <row r="305" spans="1:11" x14ac:dyDescent="0.25">
      <c r="A305">
        <v>1304</v>
      </c>
      <c r="B305" s="1" t="s">
        <v>251</v>
      </c>
      <c r="C305" t="s">
        <v>50</v>
      </c>
      <c r="D305" t="s">
        <v>20</v>
      </c>
      <c r="E305" t="s">
        <v>21</v>
      </c>
      <c r="F305" t="s">
        <v>22</v>
      </c>
      <c r="G305">
        <v>4</v>
      </c>
      <c r="H305">
        <v>50000</v>
      </c>
      <c r="I305">
        <v>200000</v>
      </c>
      <c r="J305" s="2">
        <f t="shared" si="4"/>
        <v>45509</v>
      </c>
      <c r="K305" t="str">
        <f>TEXT(Table1[[#This Row],[Order_Date]],"mmm")</f>
        <v>Aug</v>
      </c>
    </row>
    <row r="306" spans="1:11" x14ac:dyDescent="0.25">
      <c r="A306">
        <v>1305</v>
      </c>
      <c r="B306" s="1" t="s">
        <v>190</v>
      </c>
      <c r="C306" t="s">
        <v>24</v>
      </c>
      <c r="D306" t="s">
        <v>20</v>
      </c>
      <c r="E306" t="s">
        <v>17</v>
      </c>
      <c r="F306" t="s">
        <v>13</v>
      </c>
      <c r="G306">
        <v>4</v>
      </c>
      <c r="H306">
        <v>3000</v>
      </c>
      <c r="I306">
        <v>12000</v>
      </c>
      <c r="J306" s="2">
        <f t="shared" si="4"/>
        <v>45344</v>
      </c>
      <c r="K306" t="str">
        <f>TEXT(Table1[[#This Row],[Order_Date]],"mmm")</f>
        <v>Feb</v>
      </c>
    </row>
    <row r="307" spans="1:11" x14ac:dyDescent="0.25">
      <c r="A307">
        <v>1306</v>
      </c>
      <c r="B307" s="1" t="s">
        <v>135</v>
      </c>
      <c r="C307" t="s">
        <v>38</v>
      </c>
      <c r="D307" t="s">
        <v>20</v>
      </c>
      <c r="E307" t="s">
        <v>17</v>
      </c>
      <c r="F307" t="s">
        <v>13</v>
      </c>
      <c r="G307">
        <v>2</v>
      </c>
      <c r="H307">
        <v>3000</v>
      </c>
      <c r="I307">
        <v>6000</v>
      </c>
      <c r="J307" s="2">
        <f t="shared" si="4"/>
        <v>45390</v>
      </c>
      <c r="K307" t="str">
        <f>TEXT(Table1[[#This Row],[Order_Date]],"mmm")</f>
        <v>Apr</v>
      </c>
    </row>
    <row r="308" spans="1:11" x14ac:dyDescent="0.25">
      <c r="A308">
        <v>1307</v>
      </c>
      <c r="B308" s="1" t="s">
        <v>104</v>
      </c>
      <c r="C308" t="s">
        <v>10</v>
      </c>
      <c r="D308" t="s">
        <v>33</v>
      </c>
      <c r="E308" t="s">
        <v>12</v>
      </c>
      <c r="F308" t="s">
        <v>13</v>
      </c>
      <c r="G308">
        <v>4</v>
      </c>
      <c r="H308">
        <v>800</v>
      </c>
      <c r="I308">
        <v>3200</v>
      </c>
      <c r="J308" s="2">
        <f t="shared" si="4"/>
        <v>45540</v>
      </c>
      <c r="K308" t="str">
        <f>TEXT(Table1[[#This Row],[Order_Date]],"mmm")</f>
        <v>Sep</v>
      </c>
    </row>
    <row r="309" spans="1:11" x14ac:dyDescent="0.25">
      <c r="A309">
        <v>1308</v>
      </c>
      <c r="B309" s="1" t="s">
        <v>128</v>
      </c>
      <c r="C309" t="s">
        <v>28</v>
      </c>
      <c r="D309" t="s">
        <v>20</v>
      </c>
      <c r="E309" t="s">
        <v>26</v>
      </c>
      <c r="F309" t="s">
        <v>22</v>
      </c>
      <c r="G309">
        <v>5</v>
      </c>
      <c r="H309">
        <v>2500</v>
      </c>
      <c r="I309">
        <v>12500</v>
      </c>
      <c r="J309" s="2">
        <f t="shared" si="4"/>
        <v>45329</v>
      </c>
      <c r="K309" t="str">
        <f>TEXT(Table1[[#This Row],[Order_Date]],"mmm")</f>
        <v>Feb</v>
      </c>
    </row>
    <row r="310" spans="1:11" x14ac:dyDescent="0.25">
      <c r="A310">
        <v>1309</v>
      </c>
      <c r="B310" s="1" t="s">
        <v>231</v>
      </c>
      <c r="C310" t="s">
        <v>32</v>
      </c>
      <c r="D310" t="s">
        <v>33</v>
      </c>
      <c r="E310" t="s">
        <v>51</v>
      </c>
      <c r="F310" t="s">
        <v>13</v>
      </c>
      <c r="G310">
        <v>1</v>
      </c>
      <c r="H310">
        <v>2000</v>
      </c>
      <c r="I310">
        <v>2000</v>
      </c>
      <c r="J310" s="2">
        <f t="shared" si="4"/>
        <v>45457</v>
      </c>
      <c r="K310" t="str">
        <f>TEXT(Table1[[#This Row],[Order_Date]],"mmm")</f>
        <v>Jun</v>
      </c>
    </row>
    <row r="311" spans="1:11" x14ac:dyDescent="0.25">
      <c r="A311">
        <v>1310</v>
      </c>
      <c r="B311" s="1" t="s">
        <v>252</v>
      </c>
      <c r="C311" t="s">
        <v>28</v>
      </c>
      <c r="D311" t="s">
        <v>47</v>
      </c>
      <c r="E311" t="s">
        <v>12</v>
      </c>
      <c r="F311" t="s">
        <v>13</v>
      </c>
      <c r="G311">
        <v>4</v>
      </c>
      <c r="H311">
        <v>800</v>
      </c>
      <c r="I311">
        <v>3200</v>
      </c>
      <c r="J311" s="2">
        <f t="shared" si="4"/>
        <v>45483</v>
      </c>
      <c r="K311" t="str">
        <f>TEXT(Table1[[#This Row],[Order_Date]],"mmm")</f>
        <v>Jul</v>
      </c>
    </row>
    <row r="312" spans="1:11" x14ac:dyDescent="0.25">
      <c r="A312">
        <v>1311</v>
      </c>
      <c r="B312" s="1" t="s">
        <v>246</v>
      </c>
      <c r="C312" t="s">
        <v>15</v>
      </c>
      <c r="D312" t="s">
        <v>20</v>
      </c>
      <c r="E312" t="s">
        <v>43</v>
      </c>
      <c r="F312" t="s">
        <v>44</v>
      </c>
      <c r="G312">
        <v>1</v>
      </c>
      <c r="H312">
        <v>1500</v>
      </c>
      <c r="I312">
        <v>1500</v>
      </c>
      <c r="J312" s="2">
        <f t="shared" si="4"/>
        <v>45619</v>
      </c>
      <c r="K312" t="str">
        <f>TEXT(Table1[[#This Row],[Order_Date]],"mmm")</f>
        <v>Nov</v>
      </c>
    </row>
    <row r="313" spans="1:11" x14ac:dyDescent="0.25">
      <c r="A313">
        <v>1312</v>
      </c>
      <c r="B313" s="1" t="s">
        <v>253</v>
      </c>
      <c r="C313" t="s">
        <v>30</v>
      </c>
      <c r="D313" t="s">
        <v>11</v>
      </c>
      <c r="E313" t="s">
        <v>17</v>
      </c>
      <c r="F313" t="s">
        <v>13</v>
      </c>
      <c r="G313">
        <v>4</v>
      </c>
      <c r="H313">
        <v>3000</v>
      </c>
      <c r="I313">
        <v>12000</v>
      </c>
      <c r="J313" s="2">
        <f t="shared" si="4"/>
        <v>45327</v>
      </c>
      <c r="K313" t="str">
        <f>TEXT(Table1[[#This Row],[Order_Date]],"mmm")</f>
        <v>Feb</v>
      </c>
    </row>
    <row r="314" spans="1:11" x14ac:dyDescent="0.25">
      <c r="A314">
        <v>1313</v>
      </c>
      <c r="B314" s="1" t="s">
        <v>214</v>
      </c>
      <c r="C314" t="s">
        <v>38</v>
      </c>
      <c r="D314" t="s">
        <v>11</v>
      </c>
      <c r="E314" t="s">
        <v>21</v>
      </c>
      <c r="F314" t="s">
        <v>22</v>
      </c>
      <c r="G314">
        <v>3</v>
      </c>
      <c r="H314">
        <v>50000</v>
      </c>
      <c r="I314">
        <v>150000</v>
      </c>
      <c r="J314" s="2">
        <f t="shared" si="4"/>
        <v>45389</v>
      </c>
      <c r="K314" t="str">
        <f>TEXT(Table1[[#This Row],[Order_Date]],"mmm")</f>
        <v>Apr</v>
      </c>
    </row>
    <row r="315" spans="1:11" x14ac:dyDescent="0.25">
      <c r="A315">
        <v>1314</v>
      </c>
      <c r="B315" s="1" t="s">
        <v>254</v>
      </c>
      <c r="C315" t="s">
        <v>19</v>
      </c>
      <c r="D315" t="s">
        <v>11</v>
      </c>
      <c r="E315" t="s">
        <v>26</v>
      </c>
      <c r="F315" t="s">
        <v>22</v>
      </c>
      <c r="G315">
        <v>1</v>
      </c>
      <c r="H315">
        <v>2500</v>
      </c>
      <c r="I315">
        <v>2500</v>
      </c>
      <c r="J315" s="2">
        <f t="shared" si="4"/>
        <v>45592</v>
      </c>
      <c r="K315" t="str">
        <f>TEXT(Table1[[#This Row],[Order_Date]],"mmm")</f>
        <v>Oct</v>
      </c>
    </row>
    <row r="316" spans="1:11" x14ac:dyDescent="0.25">
      <c r="A316">
        <v>1315</v>
      </c>
      <c r="B316" s="1" t="s">
        <v>255</v>
      </c>
      <c r="C316" t="s">
        <v>15</v>
      </c>
      <c r="D316" t="s">
        <v>25</v>
      </c>
      <c r="E316" t="s">
        <v>43</v>
      </c>
      <c r="F316" t="s">
        <v>44</v>
      </c>
      <c r="G316">
        <v>3</v>
      </c>
      <c r="H316">
        <v>1500</v>
      </c>
      <c r="I316">
        <v>4500</v>
      </c>
      <c r="J316" s="2">
        <f t="shared" si="4"/>
        <v>45464</v>
      </c>
      <c r="K316" t="str">
        <f>TEXT(Table1[[#This Row],[Order_Date]],"mmm")</f>
        <v>Jun</v>
      </c>
    </row>
    <row r="317" spans="1:11" x14ac:dyDescent="0.25">
      <c r="A317">
        <v>1316</v>
      </c>
      <c r="B317" s="1" t="s">
        <v>178</v>
      </c>
      <c r="C317" t="s">
        <v>50</v>
      </c>
      <c r="D317" t="s">
        <v>25</v>
      </c>
      <c r="E317" t="s">
        <v>35</v>
      </c>
      <c r="F317" t="s">
        <v>22</v>
      </c>
      <c r="G317">
        <v>4</v>
      </c>
      <c r="H317">
        <v>20000</v>
      </c>
      <c r="I317">
        <v>80000</v>
      </c>
      <c r="J317" s="2">
        <f t="shared" si="4"/>
        <v>45613</v>
      </c>
      <c r="K317" t="str">
        <f>TEXT(Table1[[#This Row],[Order_Date]],"mmm")</f>
        <v>Nov</v>
      </c>
    </row>
    <row r="318" spans="1:11" x14ac:dyDescent="0.25">
      <c r="A318">
        <v>1317</v>
      </c>
      <c r="B318" s="1" t="s">
        <v>256</v>
      </c>
      <c r="C318" t="s">
        <v>19</v>
      </c>
      <c r="D318" t="s">
        <v>25</v>
      </c>
      <c r="E318" t="s">
        <v>21</v>
      </c>
      <c r="F318" t="s">
        <v>22</v>
      </c>
      <c r="G318">
        <v>1</v>
      </c>
      <c r="H318">
        <v>50000</v>
      </c>
      <c r="I318">
        <v>50000</v>
      </c>
      <c r="J318" s="2">
        <f t="shared" si="4"/>
        <v>45388</v>
      </c>
      <c r="K318" t="str">
        <f>TEXT(Table1[[#This Row],[Order_Date]],"mmm")</f>
        <v>Apr</v>
      </c>
    </row>
    <row r="319" spans="1:11" x14ac:dyDescent="0.25">
      <c r="A319">
        <v>1318</v>
      </c>
      <c r="B319" s="1" t="s">
        <v>257</v>
      </c>
      <c r="C319" t="s">
        <v>10</v>
      </c>
      <c r="D319" t="s">
        <v>47</v>
      </c>
      <c r="E319" t="s">
        <v>48</v>
      </c>
      <c r="F319" t="s">
        <v>44</v>
      </c>
      <c r="G319">
        <v>5</v>
      </c>
      <c r="H319">
        <v>5000</v>
      </c>
      <c r="I319">
        <v>25000</v>
      </c>
      <c r="J319" s="2">
        <f t="shared" si="4"/>
        <v>45603</v>
      </c>
      <c r="K319" t="str">
        <f>TEXT(Table1[[#This Row],[Order_Date]],"mmm")</f>
        <v>Nov</v>
      </c>
    </row>
    <row r="320" spans="1:11" x14ac:dyDescent="0.25">
      <c r="A320">
        <v>1319</v>
      </c>
      <c r="B320" s="1" t="s">
        <v>258</v>
      </c>
      <c r="C320" t="s">
        <v>50</v>
      </c>
      <c r="D320" t="s">
        <v>25</v>
      </c>
      <c r="E320" t="s">
        <v>26</v>
      </c>
      <c r="F320" t="s">
        <v>22</v>
      </c>
      <c r="G320">
        <v>5</v>
      </c>
      <c r="H320">
        <v>2500</v>
      </c>
      <c r="I320">
        <v>12500</v>
      </c>
      <c r="J320" s="2">
        <f t="shared" si="4"/>
        <v>45427</v>
      </c>
      <c r="K320" t="str">
        <f>TEXT(Table1[[#This Row],[Order_Date]],"mmm")</f>
        <v>May</v>
      </c>
    </row>
    <row r="321" spans="1:11" x14ac:dyDescent="0.25">
      <c r="A321">
        <v>1320</v>
      </c>
      <c r="B321" s="1" t="s">
        <v>115</v>
      </c>
      <c r="C321" t="s">
        <v>24</v>
      </c>
      <c r="D321" t="s">
        <v>33</v>
      </c>
      <c r="E321" t="s">
        <v>17</v>
      </c>
      <c r="F321" t="s">
        <v>13</v>
      </c>
      <c r="G321">
        <v>4</v>
      </c>
      <c r="H321">
        <v>3000</v>
      </c>
      <c r="I321">
        <v>12000</v>
      </c>
      <c r="J321" s="2">
        <f t="shared" si="4"/>
        <v>45605</v>
      </c>
      <c r="K321" t="str">
        <f>TEXT(Table1[[#This Row],[Order_Date]],"mmm")</f>
        <v>Nov</v>
      </c>
    </row>
    <row r="322" spans="1:11" x14ac:dyDescent="0.25">
      <c r="A322">
        <v>1321</v>
      </c>
      <c r="B322" s="1" t="s">
        <v>259</v>
      </c>
      <c r="C322" t="s">
        <v>19</v>
      </c>
      <c r="D322" t="s">
        <v>11</v>
      </c>
      <c r="E322" t="s">
        <v>21</v>
      </c>
      <c r="F322" t="s">
        <v>22</v>
      </c>
      <c r="G322">
        <v>1</v>
      </c>
      <c r="H322">
        <v>50000</v>
      </c>
      <c r="I322">
        <v>50000</v>
      </c>
      <c r="J322" s="2">
        <f t="shared" ref="J322:J385" si="5">DATE(RIGHT(B322,4), MID(B322,4,2), LEFT(B322,2))</f>
        <v>45460</v>
      </c>
      <c r="K322" t="str">
        <f>TEXT(Table1[[#This Row],[Order_Date]],"mmm")</f>
        <v>Jun</v>
      </c>
    </row>
    <row r="323" spans="1:11" x14ac:dyDescent="0.25">
      <c r="A323">
        <v>1322</v>
      </c>
      <c r="B323" s="1" t="s">
        <v>94</v>
      </c>
      <c r="C323" t="s">
        <v>28</v>
      </c>
      <c r="D323" t="s">
        <v>20</v>
      </c>
      <c r="E323" t="s">
        <v>17</v>
      </c>
      <c r="F323" t="s">
        <v>13</v>
      </c>
      <c r="G323">
        <v>1</v>
      </c>
      <c r="H323">
        <v>3000</v>
      </c>
      <c r="I323">
        <v>3000</v>
      </c>
      <c r="J323" s="2">
        <f t="shared" si="5"/>
        <v>45553</v>
      </c>
      <c r="K323" t="str">
        <f>TEXT(Table1[[#This Row],[Order_Date]],"mmm")</f>
        <v>Sep</v>
      </c>
    </row>
    <row r="324" spans="1:11" x14ac:dyDescent="0.25">
      <c r="A324">
        <v>1323</v>
      </c>
      <c r="B324" s="1" t="s">
        <v>260</v>
      </c>
      <c r="C324" t="s">
        <v>38</v>
      </c>
      <c r="D324" t="s">
        <v>39</v>
      </c>
      <c r="E324" t="s">
        <v>51</v>
      </c>
      <c r="F324" t="s">
        <v>13</v>
      </c>
      <c r="G324">
        <v>1</v>
      </c>
      <c r="H324">
        <v>2000</v>
      </c>
      <c r="I324">
        <v>2000</v>
      </c>
      <c r="J324" s="2">
        <f t="shared" si="5"/>
        <v>45490</v>
      </c>
      <c r="K324" t="str">
        <f>TEXT(Table1[[#This Row],[Order_Date]],"mmm")</f>
        <v>Jul</v>
      </c>
    </row>
    <row r="325" spans="1:11" x14ac:dyDescent="0.25">
      <c r="A325">
        <v>1324</v>
      </c>
      <c r="B325" s="1" t="s">
        <v>145</v>
      </c>
      <c r="C325" t="s">
        <v>28</v>
      </c>
      <c r="D325" t="s">
        <v>16</v>
      </c>
      <c r="E325" t="s">
        <v>48</v>
      </c>
      <c r="F325" t="s">
        <v>44</v>
      </c>
      <c r="G325">
        <v>4</v>
      </c>
      <c r="H325">
        <v>5000</v>
      </c>
      <c r="I325">
        <v>20000</v>
      </c>
      <c r="J325" s="2">
        <f t="shared" si="5"/>
        <v>45521</v>
      </c>
      <c r="K325" t="str">
        <f>TEXT(Table1[[#This Row],[Order_Date]],"mmm")</f>
        <v>Aug</v>
      </c>
    </row>
    <row r="326" spans="1:11" x14ac:dyDescent="0.25">
      <c r="A326">
        <v>1325</v>
      </c>
      <c r="B326" s="1" t="s">
        <v>241</v>
      </c>
      <c r="C326" t="s">
        <v>30</v>
      </c>
      <c r="D326" t="s">
        <v>11</v>
      </c>
      <c r="E326" t="s">
        <v>43</v>
      </c>
      <c r="F326" t="s">
        <v>44</v>
      </c>
      <c r="G326">
        <v>3</v>
      </c>
      <c r="H326">
        <v>1500</v>
      </c>
      <c r="I326">
        <v>4500</v>
      </c>
      <c r="J326" s="2">
        <f t="shared" si="5"/>
        <v>45361</v>
      </c>
      <c r="K326" t="str">
        <f>TEXT(Table1[[#This Row],[Order_Date]],"mmm")</f>
        <v>Mar</v>
      </c>
    </row>
    <row r="327" spans="1:11" x14ac:dyDescent="0.25">
      <c r="A327">
        <v>1326</v>
      </c>
      <c r="B327" s="1" t="s">
        <v>261</v>
      </c>
      <c r="C327" t="s">
        <v>50</v>
      </c>
      <c r="D327" t="s">
        <v>20</v>
      </c>
      <c r="E327" t="s">
        <v>26</v>
      </c>
      <c r="F327" t="s">
        <v>22</v>
      </c>
      <c r="G327">
        <v>1</v>
      </c>
      <c r="H327">
        <v>2500</v>
      </c>
      <c r="I327">
        <v>2500</v>
      </c>
      <c r="J327" s="2">
        <f t="shared" si="5"/>
        <v>45384</v>
      </c>
      <c r="K327" t="str">
        <f>TEXT(Table1[[#This Row],[Order_Date]],"mmm")</f>
        <v>Apr</v>
      </c>
    </row>
    <row r="328" spans="1:11" x14ac:dyDescent="0.25">
      <c r="A328">
        <v>1327</v>
      </c>
      <c r="B328" s="1" t="s">
        <v>262</v>
      </c>
      <c r="C328" t="s">
        <v>28</v>
      </c>
      <c r="D328" t="s">
        <v>25</v>
      </c>
      <c r="E328" t="s">
        <v>21</v>
      </c>
      <c r="F328" t="s">
        <v>22</v>
      </c>
      <c r="G328">
        <v>1</v>
      </c>
      <c r="H328">
        <v>50000</v>
      </c>
      <c r="I328">
        <v>50000</v>
      </c>
      <c r="J328" s="2">
        <f t="shared" si="5"/>
        <v>45365</v>
      </c>
      <c r="K328" t="str">
        <f>TEXT(Table1[[#This Row],[Order_Date]],"mmm")</f>
        <v>Mar</v>
      </c>
    </row>
    <row r="329" spans="1:11" x14ac:dyDescent="0.25">
      <c r="A329">
        <v>1328</v>
      </c>
      <c r="B329" s="1" t="s">
        <v>263</v>
      </c>
      <c r="C329" t="s">
        <v>53</v>
      </c>
      <c r="D329" t="s">
        <v>16</v>
      </c>
      <c r="E329" t="s">
        <v>12</v>
      </c>
      <c r="F329" t="s">
        <v>13</v>
      </c>
      <c r="G329">
        <v>2</v>
      </c>
      <c r="H329">
        <v>800</v>
      </c>
      <c r="I329">
        <v>1600</v>
      </c>
      <c r="J329" s="2">
        <f t="shared" si="5"/>
        <v>45517</v>
      </c>
      <c r="K329" t="str">
        <f>TEXT(Table1[[#This Row],[Order_Date]],"mmm")</f>
        <v>Aug</v>
      </c>
    </row>
    <row r="330" spans="1:11" x14ac:dyDescent="0.25">
      <c r="A330">
        <v>1329</v>
      </c>
      <c r="B330" s="1" t="s">
        <v>264</v>
      </c>
      <c r="C330" t="s">
        <v>57</v>
      </c>
      <c r="D330" t="s">
        <v>20</v>
      </c>
      <c r="E330" t="s">
        <v>48</v>
      </c>
      <c r="F330" t="s">
        <v>44</v>
      </c>
      <c r="G330">
        <v>3</v>
      </c>
      <c r="H330">
        <v>5000</v>
      </c>
      <c r="I330">
        <v>15000</v>
      </c>
      <c r="J330" s="2">
        <f t="shared" si="5"/>
        <v>45502</v>
      </c>
      <c r="K330" t="str">
        <f>TEXT(Table1[[#This Row],[Order_Date]],"mmm")</f>
        <v>Jul</v>
      </c>
    </row>
    <row r="331" spans="1:11" x14ac:dyDescent="0.25">
      <c r="A331">
        <v>1330</v>
      </c>
      <c r="B331" s="1" t="s">
        <v>229</v>
      </c>
      <c r="C331" t="s">
        <v>57</v>
      </c>
      <c r="D331" t="s">
        <v>25</v>
      </c>
      <c r="E331" t="s">
        <v>21</v>
      </c>
      <c r="F331" t="s">
        <v>22</v>
      </c>
      <c r="G331">
        <v>5</v>
      </c>
      <c r="H331">
        <v>50000</v>
      </c>
      <c r="I331">
        <v>250000</v>
      </c>
      <c r="J331" s="2">
        <f t="shared" si="5"/>
        <v>45638</v>
      </c>
      <c r="K331" t="str">
        <f>TEXT(Table1[[#This Row],[Order_Date]],"mmm")</f>
        <v>Dec</v>
      </c>
    </row>
    <row r="332" spans="1:11" x14ac:dyDescent="0.25">
      <c r="A332">
        <v>1331</v>
      </c>
      <c r="B332" s="1" t="s">
        <v>248</v>
      </c>
      <c r="C332" t="s">
        <v>53</v>
      </c>
      <c r="D332" t="s">
        <v>20</v>
      </c>
      <c r="E332" t="s">
        <v>26</v>
      </c>
      <c r="F332" t="s">
        <v>22</v>
      </c>
      <c r="G332">
        <v>1</v>
      </c>
      <c r="H332">
        <v>2500</v>
      </c>
      <c r="I332">
        <v>2500</v>
      </c>
      <c r="J332" s="2">
        <f t="shared" si="5"/>
        <v>45590</v>
      </c>
      <c r="K332" t="str">
        <f>TEXT(Table1[[#This Row],[Order_Date]],"mmm")</f>
        <v>Oct</v>
      </c>
    </row>
    <row r="333" spans="1:11" x14ac:dyDescent="0.25">
      <c r="A333">
        <v>1332</v>
      </c>
      <c r="B333" s="1" t="s">
        <v>245</v>
      </c>
      <c r="C333" t="s">
        <v>53</v>
      </c>
      <c r="D333" t="s">
        <v>16</v>
      </c>
      <c r="E333" t="s">
        <v>26</v>
      </c>
      <c r="F333" t="s">
        <v>22</v>
      </c>
      <c r="G333">
        <v>4</v>
      </c>
      <c r="H333">
        <v>2500</v>
      </c>
      <c r="I333">
        <v>10000</v>
      </c>
      <c r="J333" s="2">
        <f t="shared" si="5"/>
        <v>45398</v>
      </c>
      <c r="K333" t="str">
        <f>TEXT(Table1[[#This Row],[Order_Date]],"mmm")</f>
        <v>Apr</v>
      </c>
    </row>
    <row r="334" spans="1:11" x14ac:dyDescent="0.25">
      <c r="A334">
        <v>1333</v>
      </c>
      <c r="B334" s="1" t="s">
        <v>265</v>
      </c>
      <c r="C334" t="s">
        <v>15</v>
      </c>
      <c r="D334" t="s">
        <v>47</v>
      </c>
      <c r="E334" t="s">
        <v>21</v>
      </c>
      <c r="F334" t="s">
        <v>22</v>
      </c>
      <c r="G334">
        <v>5</v>
      </c>
      <c r="H334">
        <v>50000</v>
      </c>
      <c r="I334">
        <v>250000</v>
      </c>
      <c r="J334" s="2">
        <f t="shared" si="5"/>
        <v>45420</v>
      </c>
      <c r="K334" t="str">
        <f>TEXT(Table1[[#This Row],[Order_Date]],"mmm")</f>
        <v>May</v>
      </c>
    </row>
    <row r="335" spans="1:11" x14ac:dyDescent="0.25">
      <c r="A335">
        <v>1334</v>
      </c>
      <c r="B335" s="1" t="s">
        <v>220</v>
      </c>
      <c r="C335" t="s">
        <v>50</v>
      </c>
      <c r="D335" t="s">
        <v>39</v>
      </c>
      <c r="E335" t="s">
        <v>48</v>
      </c>
      <c r="F335" t="s">
        <v>44</v>
      </c>
      <c r="G335">
        <v>3</v>
      </c>
      <c r="H335">
        <v>5000</v>
      </c>
      <c r="I335">
        <v>15000</v>
      </c>
      <c r="J335" s="2">
        <f t="shared" si="5"/>
        <v>45456</v>
      </c>
      <c r="K335" t="str">
        <f>TEXT(Table1[[#This Row],[Order_Date]],"mmm")</f>
        <v>Jun</v>
      </c>
    </row>
    <row r="336" spans="1:11" x14ac:dyDescent="0.25">
      <c r="A336">
        <v>1335</v>
      </c>
      <c r="B336" s="1" t="s">
        <v>100</v>
      </c>
      <c r="C336" t="s">
        <v>53</v>
      </c>
      <c r="D336" t="s">
        <v>16</v>
      </c>
      <c r="E336" t="s">
        <v>43</v>
      </c>
      <c r="F336" t="s">
        <v>44</v>
      </c>
      <c r="G336">
        <v>3</v>
      </c>
      <c r="H336">
        <v>1500</v>
      </c>
      <c r="I336">
        <v>4500</v>
      </c>
      <c r="J336" s="2">
        <f t="shared" si="5"/>
        <v>45395</v>
      </c>
      <c r="K336" t="str">
        <f>TEXT(Table1[[#This Row],[Order_Date]],"mmm")</f>
        <v>Apr</v>
      </c>
    </row>
    <row r="337" spans="1:11" x14ac:dyDescent="0.25">
      <c r="A337">
        <v>1336</v>
      </c>
      <c r="B337" s="1" t="s">
        <v>266</v>
      </c>
      <c r="C337" t="s">
        <v>32</v>
      </c>
      <c r="D337" t="s">
        <v>25</v>
      </c>
      <c r="E337" t="s">
        <v>48</v>
      </c>
      <c r="F337" t="s">
        <v>44</v>
      </c>
      <c r="G337">
        <v>3</v>
      </c>
      <c r="H337">
        <v>5000</v>
      </c>
      <c r="I337">
        <v>15000</v>
      </c>
      <c r="J337" s="2">
        <f t="shared" si="5"/>
        <v>45473</v>
      </c>
      <c r="K337" t="str">
        <f>TEXT(Table1[[#This Row],[Order_Date]],"mmm")</f>
        <v>Jun</v>
      </c>
    </row>
    <row r="338" spans="1:11" x14ac:dyDescent="0.25">
      <c r="A338">
        <v>1337</v>
      </c>
      <c r="B338" s="1" t="s">
        <v>267</v>
      </c>
      <c r="C338" t="s">
        <v>10</v>
      </c>
      <c r="D338" t="s">
        <v>11</v>
      </c>
      <c r="E338" t="s">
        <v>51</v>
      </c>
      <c r="F338" t="s">
        <v>13</v>
      </c>
      <c r="G338">
        <v>3</v>
      </c>
      <c r="H338">
        <v>2000</v>
      </c>
      <c r="I338">
        <v>6000</v>
      </c>
      <c r="J338" s="2">
        <f t="shared" si="5"/>
        <v>45403</v>
      </c>
      <c r="K338" t="str">
        <f>TEXT(Table1[[#This Row],[Order_Date]],"mmm")</f>
        <v>Apr</v>
      </c>
    </row>
    <row r="339" spans="1:11" x14ac:dyDescent="0.25">
      <c r="A339">
        <v>1338</v>
      </c>
      <c r="B339" s="1" t="s">
        <v>106</v>
      </c>
      <c r="C339" t="s">
        <v>38</v>
      </c>
      <c r="D339" t="s">
        <v>39</v>
      </c>
      <c r="E339" t="s">
        <v>21</v>
      </c>
      <c r="F339" t="s">
        <v>22</v>
      </c>
      <c r="G339">
        <v>4</v>
      </c>
      <c r="H339">
        <v>50000</v>
      </c>
      <c r="I339">
        <v>200000</v>
      </c>
      <c r="J339" s="2">
        <f t="shared" si="5"/>
        <v>45326</v>
      </c>
      <c r="K339" t="str">
        <f>TEXT(Table1[[#This Row],[Order_Date]],"mmm")</f>
        <v>Feb</v>
      </c>
    </row>
    <row r="340" spans="1:11" x14ac:dyDescent="0.25">
      <c r="A340">
        <v>1339</v>
      </c>
      <c r="B340" s="1" t="s">
        <v>241</v>
      </c>
      <c r="C340" t="s">
        <v>15</v>
      </c>
      <c r="D340" t="s">
        <v>11</v>
      </c>
      <c r="E340" t="s">
        <v>26</v>
      </c>
      <c r="F340" t="s">
        <v>22</v>
      </c>
      <c r="G340">
        <v>2</v>
      </c>
      <c r="H340">
        <v>2500</v>
      </c>
      <c r="I340">
        <v>5000</v>
      </c>
      <c r="J340" s="2">
        <f t="shared" si="5"/>
        <v>45361</v>
      </c>
      <c r="K340" t="str">
        <f>TEXT(Table1[[#This Row],[Order_Date]],"mmm")</f>
        <v>Mar</v>
      </c>
    </row>
    <row r="341" spans="1:11" x14ac:dyDescent="0.25">
      <c r="A341">
        <v>1340</v>
      </c>
      <c r="B341" s="1" t="s">
        <v>268</v>
      </c>
      <c r="C341" t="s">
        <v>19</v>
      </c>
      <c r="D341" t="s">
        <v>25</v>
      </c>
      <c r="E341" t="s">
        <v>12</v>
      </c>
      <c r="F341" t="s">
        <v>13</v>
      </c>
      <c r="G341">
        <v>4</v>
      </c>
      <c r="H341">
        <v>800</v>
      </c>
      <c r="I341">
        <v>3200</v>
      </c>
      <c r="J341" s="2">
        <f t="shared" si="5"/>
        <v>45494</v>
      </c>
      <c r="K341" t="str">
        <f>TEXT(Table1[[#This Row],[Order_Date]],"mmm")</f>
        <v>Jul</v>
      </c>
    </row>
    <row r="342" spans="1:11" x14ac:dyDescent="0.25">
      <c r="A342">
        <v>1341</v>
      </c>
      <c r="B342" s="1" t="s">
        <v>269</v>
      </c>
      <c r="C342" t="s">
        <v>28</v>
      </c>
      <c r="D342" t="s">
        <v>20</v>
      </c>
      <c r="E342" t="s">
        <v>48</v>
      </c>
      <c r="F342" t="s">
        <v>44</v>
      </c>
      <c r="G342">
        <v>2</v>
      </c>
      <c r="H342">
        <v>5000</v>
      </c>
      <c r="I342">
        <v>10000</v>
      </c>
      <c r="J342" s="2">
        <f t="shared" si="5"/>
        <v>45454</v>
      </c>
      <c r="K342" t="str">
        <f>TEXT(Table1[[#This Row],[Order_Date]],"mmm")</f>
        <v>Jun</v>
      </c>
    </row>
    <row r="343" spans="1:11" x14ac:dyDescent="0.25">
      <c r="A343">
        <v>1342</v>
      </c>
      <c r="B343" s="1" t="s">
        <v>244</v>
      </c>
      <c r="C343" t="s">
        <v>10</v>
      </c>
      <c r="D343" t="s">
        <v>39</v>
      </c>
      <c r="E343" t="s">
        <v>17</v>
      </c>
      <c r="F343" t="s">
        <v>13</v>
      </c>
      <c r="G343">
        <v>4</v>
      </c>
      <c r="H343">
        <v>3000</v>
      </c>
      <c r="I343">
        <v>12000</v>
      </c>
      <c r="J343" s="2">
        <f t="shared" si="5"/>
        <v>45346</v>
      </c>
      <c r="K343" t="str">
        <f>TEXT(Table1[[#This Row],[Order_Date]],"mmm")</f>
        <v>Feb</v>
      </c>
    </row>
    <row r="344" spans="1:11" x14ac:dyDescent="0.25">
      <c r="A344">
        <v>1343</v>
      </c>
      <c r="B344" s="1" t="s">
        <v>131</v>
      </c>
      <c r="C344" t="s">
        <v>50</v>
      </c>
      <c r="D344" t="s">
        <v>25</v>
      </c>
      <c r="E344" t="s">
        <v>43</v>
      </c>
      <c r="F344" t="s">
        <v>44</v>
      </c>
      <c r="G344">
        <v>4</v>
      </c>
      <c r="H344">
        <v>1500</v>
      </c>
      <c r="I344">
        <v>6000</v>
      </c>
      <c r="J344" s="2">
        <f t="shared" si="5"/>
        <v>45378</v>
      </c>
      <c r="K344" t="str">
        <f>TEXT(Table1[[#This Row],[Order_Date]],"mmm")</f>
        <v>Mar</v>
      </c>
    </row>
    <row r="345" spans="1:11" x14ac:dyDescent="0.25">
      <c r="A345">
        <v>1344</v>
      </c>
      <c r="B345" s="1" t="s">
        <v>270</v>
      </c>
      <c r="C345" t="s">
        <v>28</v>
      </c>
      <c r="D345" t="s">
        <v>47</v>
      </c>
      <c r="E345" t="s">
        <v>21</v>
      </c>
      <c r="F345" t="s">
        <v>22</v>
      </c>
      <c r="G345">
        <v>4</v>
      </c>
      <c r="H345">
        <v>50000</v>
      </c>
      <c r="I345">
        <v>200000</v>
      </c>
      <c r="J345" s="2">
        <f t="shared" si="5"/>
        <v>45452</v>
      </c>
      <c r="K345" t="str">
        <f>TEXT(Table1[[#This Row],[Order_Date]],"mmm")</f>
        <v>Jun</v>
      </c>
    </row>
    <row r="346" spans="1:11" x14ac:dyDescent="0.25">
      <c r="A346">
        <v>1345</v>
      </c>
      <c r="B346" s="1" t="s">
        <v>262</v>
      </c>
      <c r="C346" t="s">
        <v>19</v>
      </c>
      <c r="D346" t="s">
        <v>11</v>
      </c>
      <c r="E346" t="s">
        <v>43</v>
      </c>
      <c r="F346" t="s">
        <v>44</v>
      </c>
      <c r="G346">
        <v>4</v>
      </c>
      <c r="H346">
        <v>1500</v>
      </c>
      <c r="I346">
        <v>6000</v>
      </c>
      <c r="J346" s="2">
        <f t="shared" si="5"/>
        <v>45365</v>
      </c>
      <c r="K346" t="str">
        <f>TEXT(Table1[[#This Row],[Order_Date]],"mmm")</f>
        <v>Mar</v>
      </c>
    </row>
    <row r="347" spans="1:11" x14ac:dyDescent="0.25">
      <c r="A347">
        <v>1346</v>
      </c>
      <c r="B347" s="1" t="s">
        <v>271</v>
      </c>
      <c r="C347" t="s">
        <v>32</v>
      </c>
      <c r="D347" t="s">
        <v>11</v>
      </c>
      <c r="E347" t="s">
        <v>35</v>
      </c>
      <c r="F347" t="s">
        <v>22</v>
      </c>
      <c r="G347">
        <v>4</v>
      </c>
      <c r="H347">
        <v>20000</v>
      </c>
      <c r="I347">
        <v>80000</v>
      </c>
      <c r="J347" s="2">
        <f t="shared" si="5"/>
        <v>45469</v>
      </c>
      <c r="K347" t="str">
        <f>TEXT(Table1[[#This Row],[Order_Date]],"mmm")</f>
        <v>Jun</v>
      </c>
    </row>
    <row r="348" spans="1:11" x14ac:dyDescent="0.25">
      <c r="A348">
        <v>1347</v>
      </c>
      <c r="B348" s="1" t="s">
        <v>156</v>
      </c>
      <c r="C348" t="s">
        <v>10</v>
      </c>
      <c r="D348" t="s">
        <v>33</v>
      </c>
      <c r="E348" t="s">
        <v>17</v>
      </c>
      <c r="F348" t="s">
        <v>13</v>
      </c>
      <c r="G348">
        <v>5</v>
      </c>
      <c r="H348">
        <v>3000</v>
      </c>
      <c r="I348">
        <v>15000</v>
      </c>
      <c r="J348" s="2">
        <f t="shared" si="5"/>
        <v>45310</v>
      </c>
      <c r="K348" t="str">
        <f>TEXT(Table1[[#This Row],[Order_Date]],"mmm")</f>
        <v>Jan</v>
      </c>
    </row>
    <row r="349" spans="1:11" x14ac:dyDescent="0.25">
      <c r="A349">
        <v>1348</v>
      </c>
      <c r="B349" s="1" t="s">
        <v>272</v>
      </c>
      <c r="C349" t="s">
        <v>57</v>
      </c>
      <c r="D349" t="s">
        <v>11</v>
      </c>
      <c r="E349" t="s">
        <v>35</v>
      </c>
      <c r="F349" t="s">
        <v>22</v>
      </c>
      <c r="G349">
        <v>2</v>
      </c>
      <c r="H349">
        <v>20000</v>
      </c>
      <c r="I349">
        <v>40000</v>
      </c>
      <c r="J349" s="2">
        <f t="shared" si="5"/>
        <v>45301</v>
      </c>
      <c r="K349" t="str">
        <f>TEXT(Table1[[#This Row],[Order_Date]],"mmm")</f>
        <v>Jan</v>
      </c>
    </row>
    <row r="350" spans="1:11" x14ac:dyDescent="0.25">
      <c r="A350">
        <v>1349</v>
      </c>
      <c r="B350" s="1" t="s">
        <v>273</v>
      </c>
      <c r="C350" t="s">
        <v>10</v>
      </c>
      <c r="D350" t="s">
        <v>25</v>
      </c>
      <c r="E350" t="s">
        <v>12</v>
      </c>
      <c r="F350" t="s">
        <v>13</v>
      </c>
      <c r="G350">
        <v>3</v>
      </c>
      <c r="H350">
        <v>800</v>
      </c>
      <c r="I350">
        <v>2400</v>
      </c>
      <c r="J350" s="2">
        <f t="shared" si="5"/>
        <v>45599</v>
      </c>
      <c r="K350" t="str">
        <f>TEXT(Table1[[#This Row],[Order_Date]],"mmm")</f>
        <v>Nov</v>
      </c>
    </row>
    <row r="351" spans="1:11" x14ac:dyDescent="0.25">
      <c r="A351">
        <v>1350</v>
      </c>
      <c r="B351" s="1" t="s">
        <v>164</v>
      </c>
      <c r="C351" t="s">
        <v>38</v>
      </c>
      <c r="D351" t="s">
        <v>47</v>
      </c>
      <c r="E351" t="s">
        <v>26</v>
      </c>
      <c r="F351" t="s">
        <v>22</v>
      </c>
      <c r="G351">
        <v>2</v>
      </c>
      <c r="H351">
        <v>2500</v>
      </c>
      <c r="I351">
        <v>5000</v>
      </c>
      <c r="J351" s="2">
        <f t="shared" si="5"/>
        <v>45315</v>
      </c>
      <c r="K351" t="str">
        <f>TEXT(Table1[[#This Row],[Order_Date]],"mmm")</f>
        <v>Jan</v>
      </c>
    </row>
    <row r="352" spans="1:11" x14ac:dyDescent="0.25">
      <c r="A352">
        <v>1351</v>
      </c>
      <c r="B352" s="1" t="s">
        <v>227</v>
      </c>
      <c r="C352" t="s">
        <v>15</v>
      </c>
      <c r="D352" t="s">
        <v>20</v>
      </c>
      <c r="E352" t="s">
        <v>43</v>
      </c>
      <c r="F352" t="s">
        <v>44</v>
      </c>
      <c r="G352">
        <v>1</v>
      </c>
      <c r="H352">
        <v>1500</v>
      </c>
      <c r="I352">
        <v>1500</v>
      </c>
      <c r="J352" s="2">
        <f t="shared" si="5"/>
        <v>45295</v>
      </c>
      <c r="K352" t="str">
        <f>TEXT(Table1[[#This Row],[Order_Date]],"mmm")</f>
        <v>Jan</v>
      </c>
    </row>
    <row r="353" spans="1:11" x14ac:dyDescent="0.25">
      <c r="A353">
        <v>1352</v>
      </c>
      <c r="B353" s="1" t="s">
        <v>254</v>
      </c>
      <c r="C353" t="s">
        <v>38</v>
      </c>
      <c r="D353" t="s">
        <v>16</v>
      </c>
      <c r="E353" t="s">
        <v>17</v>
      </c>
      <c r="F353" t="s">
        <v>13</v>
      </c>
      <c r="G353">
        <v>2</v>
      </c>
      <c r="H353">
        <v>3000</v>
      </c>
      <c r="I353">
        <v>6000</v>
      </c>
      <c r="J353" s="2">
        <f t="shared" si="5"/>
        <v>45592</v>
      </c>
      <c r="K353" t="str">
        <f>TEXT(Table1[[#This Row],[Order_Date]],"mmm")</f>
        <v>Oct</v>
      </c>
    </row>
    <row r="354" spans="1:11" x14ac:dyDescent="0.25">
      <c r="A354">
        <v>1353</v>
      </c>
      <c r="B354" s="1" t="s">
        <v>254</v>
      </c>
      <c r="C354" t="s">
        <v>15</v>
      </c>
      <c r="D354" t="s">
        <v>47</v>
      </c>
      <c r="E354" t="s">
        <v>35</v>
      </c>
      <c r="F354" t="s">
        <v>22</v>
      </c>
      <c r="G354">
        <v>4</v>
      </c>
      <c r="H354">
        <v>20000</v>
      </c>
      <c r="I354">
        <v>80000</v>
      </c>
      <c r="J354" s="2">
        <f t="shared" si="5"/>
        <v>45592</v>
      </c>
      <c r="K354" t="str">
        <f>TEXT(Table1[[#This Row],[Order_Date]],"mmm")</f>
        <v>Oct</v>
      </c>
    </row>
    <row r="355" spans="1:11" x14ac:dyDescent="0.25">
      <c r="A355">
        <v>1354</v>
      </c>
      <c r="B355" s="1" t="s">
        <v>127</v>
      </c>
      <c r="C355" t="s">
        <v>30</v>
      </c>
      <c r="D355" t="s">
        <v>20</v>
      </c>
      <c r="E355" t="s">
        <v>26</v>
      </c>
      <c r="F355" t="s">
        <v>22</v>
      </c>
      <c r="G355">
        <v>1</v>
      </c>
      <c r="H355">
        <v>2500</v>
      </c>
      <c r="I355">
        <v>2500</v>
      </c>
      <c r="J355" s="2">
        <f t="shared" si="5"/>
        <v>45387</v>
      </c>
      <c r="K355" t="str">
        <f>TEXT(Table1[[#This Row],[Order_Date]],"mmm")</f>
        <v>Apr</v>
      </c>
    </row>
    <row r="356" spans="1:11" x14ac:dyDescent="0.25">
      <c r="A356">
        <v>1355</v>
      </c>
      <c r="B356" s="1" t="s">
        <v>18</v>
      </c>
      <c r="C356" t="s">
        <v>24</v>
      </c>
      <c r="D356" t="s">
        <v>33</v>
      </c>
      <c r="E356" t="s">
        <v>17</v>
      </c>
      <c r="F356" t="s">
        <v>13</v>
      </c>
      <c r="G356">
        <v>4</v>
      </c>
      <c r="H356">
        <v>3000</v>
      </c>
      <c r="I356">
        <v>12000</v>
      </c>
      <c r="J356" s="2">
        <f t="shared" si="5"/>
        <v>45567</v>
      </c>
      <c r="K356" t="str">
        <f>TEXT(Table1[[#This Row],[Order_Date]],"mmm")</f>
        <v>Oct</v>
      </c>
    </row>
    <row r="357" spans="1:11" x14ac:dyDescent="0.25">
      <c r="A357">
        <v>1356</v>
      </c>
      <c r="B357" s="1" t="s">
        <v>274</v>
      </c>
      <c r="C357" t="s">
        <v>24</v>
      </c>
      <c r="D357" t="s">
        <v>33</v>
      </c>
      <c r="E357" t="s">
        <v>17</v>
      </c>
      <c r="F357" t="s">
        <v>13</v>
      </c>
      <c r="G357">
        <v>3</v>
      </c>
      <c r="H357">
        <v>3000</v>
      </c>
      <c r="I357">
        <v>9000</v>
      </c>
      <c r="J357" s="2">
        <f t="shared" si="5"/>
        <v>45504</v>
      </c>
      <c r="K357" t="str">
        <f>TEXT(Table1[[#This Row],[Order_Date]],"mmm")</f>
        <v>Jul</v>
      </c>
    </row>
    <row r="358" spans="1:11" x14ac:dyDescent="0.25">
      <c r="A358">
        <v>1357</v>
      </c>
      <c r="B358" s="1" t="s">
        <v>84</v>
      </c>
      <c r="C358" t="s">
        <v>38</v>
      </c>
      <c r="D358" t="s">
        <v>16</v>
      </c>
      <c r="E358" t="s">
        <v>26</v>
      </c>
      <c r="F358" t="s">
        <v>22</v>
      </c>
      <c r="G358">
        <v>5</v>
      </c>
      <c r="H358">
        <v>2500</v>
      </c>
      <c r="I358">
        <v>12500</v>
      </c>
      <c r="J358" s="2">
        <f t="shared" si="5"/>
        <v>45621</v>
      </c>
      <c r="K358" t="str">
        <f>TEXT(Table1[[#This Row],[Order_Date]],"mmm")</f>
        <v>Nov</v>
      </c>
    </row>
    <row r="359" spans="1:11" x14ac:dyDescent="0.25">
      <c r="A359">
        <v>1358</v>
      </c>
      <c r="B359" s="1" t="s">
        <v>195</v>
      </c>
      <c r="C359" t="s">
        <v>38</v>
      </c>
      <c r="D359" t="s">
        <v>47</v>
      </c>
      <c r="E359" t="s">
        <v>43</v>
      </c>
      <c r="F359" t="s">
        <v>44</v>
      </c>
      <c r="G359">
        <v>1</v>
      </c>
      <c r="H359">
        <v>1500</v>
      </c>
      <c r="I359">
        <v>1500</v>
      </c>
      <c r="J359" s="2">
        <f t="shared" si="5"/>
        <v>45606</v>
      </c>
      <c r="K359" t="str">
        <f>TEXT(Table1[[#This Row],[Order_Date]],"mmm")</f>
        <v>Nov</v>
      </c>
    </row>
    <row r="360" spans="1:11" x14ac:dyDescent="0.25">
      <c r="A360">
        <v>1359</v>
      </c>
      <c r="B360" s="1" t="s">
        <v>138</v>
      </c>
      <c r="C360" t="s">
        <v>32</v>
      </c>
      <c r="D360" t="s">
        <v>47</v>
      </c>
      <c r="E360" t="s">
        <v>51</v>
      </c>
      <c r="F360" t="s">
        <v>13</v>
      </c>
      <c r="G360">
        <v>1</v>
      </c>
      <c r="H360">
        <v>2000</v>
      </c>
      <c r="I360">
        <v>2000</v>
      </c>
      <c r="J360" s="2">
        <f t="shared" si="5"/>
        <v>45347</v>
      </c>
      <c r="K360" t="str">
        <f>TEXT(Table1[[#This Row],[Order_Date]],"mmm")</f>
        <v>Feb</v>
      </c>
    </row>
    <row r="361" spans="1:11" x14ac:dyDescent="0.25">
      <c r="A361">
        <v>1360</v>
      </c>
      <c r="B361" s="1" t="s">
        <v>102</v>
      </c>
      <c r="C361" t="s">
        <v>30</v>
      </c>
      <c r="D361" t="s">
        <v>11</v>
      </c>
      <c r="E361" t="s">
        <v>51</v>
      </c>
      <c r="F361" t="s">
        <v>13</v>
      </c>
      <c r="G361">
        <v>4</v>
      </c>
      <c r="H361">
        <v>2000</v>
      </c>
      <c r="I361">
        <v>8000</v>
      </c>
      <c r="J361" s="2">
        <f t="shared" si="5"/>
        <v>45656</v>
      </c>
      <c r="K361" t="str">
        <f>TEXT(Table1[[#This Row],[Order_Date]],"mmm")</f>
        <v>Dec</v>
      </c>
    </row>
    <row r="362" spans="1:11" x14ac:dyDescent="0.25">
      <c r="A362">
        <v>1361</v>
      </c>
      <c r="B362" s="1" t="s">
        <v>275</v>
      </c>
      <c r="C362" t="s">
        <v>28</v>
      </c>
      <c r="D362" t="s">
        <v>47</v>
      </c>
      <c r="E362" t="s">
        <v>51</v>
      </c>
      <c r="F362" t="s">
        <v>13</v>
      </c>
      <c r="G362">
        <v>1</v>
      </c>
      <c r="H362">
        <v>2000</v>
      </c>
      <c r="I362">
        <v>2000</v>
      </c>
      <c r="J362" s="2">
        <f t="shared" si="5"/>
        <v>45343</v>
      </c>
      <c r="K362" t="str">
        <f>TEXT(Table1[[#This Row],[Order_Date]],"mmm")</f>
        <v>Feb</v>
      </c>
    </row>
    <row r="363" spans="1:11" x14ac:dyDescent="0.25">
      <c r="A363">
        <v>1362</v>
      </c>
      <c r="B363" s="1" t="s">
        <v>103</v>
      </c>
      <c r="C363" t="s">
        <v>57</v>
      </c>
      <c r="D363" t="s">
        <v>25</v>
      </c>
      <c r="E363" t="s">
        <v>26</v>
      </c>
      <c r="F363" t="s">
        <v>22</v>
      </c>
      <c r="G363">
        <v>1</v>
      </c>
      <c r="H363">
        <v>2500</v>
      </c>
      <c r="I363">
        <v>2500</v>
      </c>
      <c r="J363" s="2">
        <f t="shared" si="5"/>
        <v>45631</v>
      </c>
      <c r="K363" t="str">
        <f>TEXT(Table1[[#This Row],[Order_Date]],"mmm")</f>
        <v>Dec</v>
      </c>
    </row>
    <row r="364" spans="1:11" x14ac:dyDescent="0.25">
      <c r="A364">
        <v>1363</v>
      </c>
      <c r="B364" s="1" t="s">
        <v>276</v>
      </c>
      <c r="C364" t="s">
        <v>42</v>
      </c>
      <c r="D364" t="s">
        <v>20</v>
      </c>
      <c r="E364" t="s">
        <v>43</v>
      </c>
      <c r="F364" t="s">
        <v>44</v>
      </c>
      <c r="G364">
        <v>1</v>
      </c>
      <c r="H364">
        <v>1500</v>
      </c>
      <c r="I364">
        <v>1500</v>
      </c>
      <c r="J364" s="2">
        <f t="shared" si="5"/>
        <v>45423</v>
      </c>
      <c r="K364" t="str">
        <f>TEXT(Table1[[#This Row],[Order_Date]],"mmm")</f>
        <v>May</v>
      </c>
    </row>
    <row r="365" spans="1:11" x14ac:dyDescent="0.25">
      <c r="A365">
        <v>1364</v>
      </c>
      <c r="B365" s="1" t="s">
        <v>277</v>
      </c>
      <c r="C365" t="s">
        <v>15</v>
      </c>
      <c r="D365" t="s">
        <v>11</v>
      </c>
      <c r="E365" t="s">
        <v>12</v>
      </c>
      <c r="F365" t="s">
        <v>13</v>
      </c>
      <c r="G365">
        <v>5</v>
      </c>
      <c r="H365">
        <v>800</v>
      </c>
      <c r="I365">
        <v>4000</v>
      </c>
      <c r="J365" s="2">
        <f t="shared" si="5"/>
        <v>45440</v>
      </c>
      <c r="K365" t="str">
        <f>TEXT(Table1[[#This Row],[Order_Date]],"mmm")</f>
        <v>May</v>
      </c>
    </row>
    <row r="366" spans="1:11" x14ac:dyDescent="0.25">
      <c r="A366">
        <v>1365</v>
      </c>
      <c r="B366" s="1" t="s">
        <v>173</v>
      </c>
      <c r="C366" t="s">
        <v>50</v>
      </c>
      <c r="D366" t="s">
        <v>25</v>
      </c>
      <c r="E366" t="s">
        <v>43</v>
      </c>
      <c r="F366" t="s">
        <v>44</v>
      </c>
      <c r="G366">
        <v>1</v>
      </c>
      <c r="H366">
        <v>1500</v>
      </c>
      <c r="I366">
        <v>1500</v>
      </c>
      <c r="J366" s="2">
        <f t="shared" si="5"/>
        <v>45314</v>
      </c>
      <c r="K366" t="str">
        <f>TEXT(Table1[[#This Row],[Order_Date]],"mmm")</f>
        <v>Jan</v>
      </c>
    </row>
    <row r="367" spans="1:11" x14ac:dyDescent="0.25">
      <c r="A367">
        <v>1366</v>
      </c>
      <c r="B367" s="1" t="s">
        <v>278</v>
      </c>
      <c r="C367" t="s">
        <v>53</v>
      </c>
      <c r="D367" t="s">
        <v>20</v>
      </c>
      <c r="E367" t="s">
        <v>43</v>
      </c>
      <c r="F367" t="s">
        <v>44</v>
      </c>
      <c r="G367">
        <v>4</v>
      </c>
      <c r="H367">
        <v>1500</v>
      </c>
      <c r="I367">
        <v>6000</v>
      </c>
      <c r="J367" s="2">
        <f t="shared" si="5"/>
        <v>45392</v>
      </c>
      <c r="K367" t="str">
        <f>TEXT(Table1[[#This Row],[Order_Date]],"mmm")</f>
        <v>Apr</v>
      </c>
    </row>
    <row r="368" spans="1:11" x14ac:dyDescent="0.25">
      <c r="A368">
        <v>1367</v>
      </c>
      <c r="B368" s="1" t="s">
        <v>239</v>
      </c>
      <c r="C368" t="s">
        <v>53</v>
      </c>
      <c r="D368" t="s">
        <v>25</v>
      </c>
      <c r="E368" t="s">
        <v>12</v>
      </c>
      <c r="F368" t="s">
        <v>13</v>
      </c>
      <c r="G368">
        <v>5</v>
      </c>
      <c r="H368">
        <v>800</v>
      </c>
      <c r="I368">
        <v>4000</v>
      </c>
      <c r="J368" s="2">
        <f t="shared" si="5"/>
        <v>45441</v>
      </c>
      <c r="K368" t="str">
        <f>TEXT(Table1[[#This Row],[Order_Date]],"mmm")</f>
        <v>May</v>
      </c>
    </row>
    <row r="369" spans="1:11" x14ac:dyDescent="0.25">
      <c r="A369">
        <v>1368</v>
      </c>
      <c r="B369" s="1" t="s">
        <v>106</v>
      </c>
      <c r="C369" t="s">
        <v>30</v>
      </c>
      <c r="D369" t="s">
        <v>33</v>
      </c>
      <c r="E369" t="s">
        <v>12</v>
      </c>
      <c r="F369" t="s">
        <v>13</v>
      </c>
      <c r="G369">
        <v>1</v>
      </c>
      <c r="H369">
        <v>800</v>
      </c>
      <c r="I369">
        <v>800</v>
      </c>
      <c r="J369" s="2">
        <f t="shared" si="5"/>
        <v>45326</v>
      </c>
      <c r="K369" t="str">
        <f>TEXT(Table1[[#This Row],[Order_Date]],"mmm")</f>
        <v>Feb</v>
      </c>
    </row>
    <row r="370" spans="1:11" x14ac:dyDescent="0.25">
      <c r="A370">
        <v>1369</v>
      </c>
      <c r="B370" s="1" t="s">
        <v>225</v>
      </c>
      <c r="C370" t="s">
        <v>10</v>
      </c>
      <c r="D370" t="s">
        <v>25</v>
      </c>
      <c r="E370" t="s">
        <v>12</v>
      </c>
      <c r="F370" t="s">
        <v>13</v>
      </c>
      <c r="G370">
        <v>1</v>
      </c>
      <c r="H370">
        <v>800</v>
      </c>
      <c r="I370">
        <v>800</v>
      </c>
      <c r="J370" s="2">
        <f t="shared" si="5"/>
        <v>45430</v>
      </c>
      <c r="K370" t="str">
        <f>TEXT(Table1[[#This Row],[Order_Date]],"mmm")</f>
        <v>May</v>
      </c>
    </row>
    <row r="371" spans="1:11" x14ac:dyDescent="0.25">
      <c r="A371">
        <v>1370</v>
      </c>
      <c r="B371" s="1" t="s">
        <v>279</v>
      </c>
      <c r="C371" t="s">
        <v>19</v>
      </c>
      <c r="D371" t="s">
        <v>11</v>
      </c>
      <c r="E371" t="s">
        <v>51</v>
      </c>
      <c r="F371" t="s">
        <v>13</v>
      </c>
      <c r="G371">
        <v>2</v>
      </c>
      <c r="H371">
        <v>2000</v>
      </c>
      <c r="I371">
        <v>4000</v>
      </c>
      <c r="J371" s="2">
        <f t="shared" si="5"/>
        <v>45536</v>
      </c>
      <c r="K371" t="str">
        <f>TEXT(Table1[[#This Row],[Order_Date]],"mmm")</f>
        <v>Sep</v>
      </c>
    </row>
    <row r="372" spans="1:11" x14ac:dyDescent="0.25">
      <c r="A372">
        <v>1371</v>
      </c>
      <c r="B372" s="1" t="s">
        <v>203</v>
      </c>
      <c r="C372" t="s">
        <v>50</v>
      </c>
      <c r="D372" t="s">
        <v>16</v>
      </c>
      <c r="E372" t="s">
        <v>43</v>
      </c>
      <c r="F372" t="s">
        <v>44</v>
      </c>
      <c r="G372">
        <v>5</v>
      </c>
      <c r="H372">
        <v>1500</v>
      </c>
      <c r="I372">
        <v>7500</v>
      </c>
      <c r="J372" s="2">
        <f t="shared" si="5"/>
        <v>45639</v>
      </c>
      <c r="K372" t="str">
        <f>TEXT(Table1[[#This Row],[Order_Date]],"mmm")</f>
        <v>Dec</v>
      </c>
    </row>
    <row r="373" spans="1:11" x14ac:dyDescent="0.25">
      <c r="A373">
        <v>1372</v>
      </c>
      <c r="B373" s="1" t="s">
        <v>280</v>
      </c>
      <c r="C373" t="s">
        <v>19</v>
      </c>
      <c r="D373" t="s">
        <v>11</v>
      </c>
      <c r="E373" t="s">
        <v>48</v>
      </c>
      <c r="F373" t="s">
        <v>44</v>
      </c>
      <c r="G373">
        <v>3</v>
      </c>
      <c r="H373">
        <v>5000</v>
      </c>
      <c r="I373">
        <v>15000</v>
      </c>
      <c r="J373" s="2">
        <f t="shared" si="5"/>
        <v>45419</v>
      </c>
      <c r="K373" t="str">
        <f>TEXT(Table1[[#This Row],[Order_Date]],"mmm")</f>
        <v>May</v>
      </c>
    </row>
    <row r="374" spans="1:11" x14ac:dyDescent="0.25">
      <c r="A374">
        <v>1373</v>
      </c>
      <c r="B374" s="1" t="s">
        <v>152</v>
      </c>
      <c r="C374" t="s">
        <v>50</v>
      </c>
      <c r="D374" t="s">
        <v>25</v>
      </c>
      <c r="E374" t="s">
        <v>48</v>
      </c>
      <c r="F374" t="s">
        <v>44</v>
      </c>
      <c r="G374">
        <v>1</v>
      </c>
      <c r="H374">
        <v>5000</v>
      </c>
      <c r="I374">
        <v>5000</v>
      </c>
      <c r="J374" s="2">
        <f t="shared" si="5"/>
        <v>45630</v>
      </c>
      <c r="K374" t="str">
        <f>TEXT(Table1[[#This Row],[Order_Date]],"mmm")</f>
        <v>Dec</v>
      </c>
    </row>
    <row r="375" spans="1:11" x14ac:dyDescent="0.25">
      <c r="A375">
        <v>1374</v>
      </c>
      <c r="B375" s="1" t="s">
        <v>281</v>
      </c>
      <c r="C375" t="s">
        <v>19</v>
      </c>
      <c r="D375" t="s">
        <v>20</v>
      </c>
      <c r="E375" t="s">
        <v>17</v>
      </c>
      <c r="F375" t="s">
        <v>13</v>
      </c>
      <c r="G375">
        <v>4</v>
      </c>
      <c r="H375">
        <v>3000</v>
      </c>
      <c r="I375">
        <v>12000</v>
      </c>
      <c r="J375" s="2">
        <f t="shared" si="5"/>
        <v>45589</v>
      </c>
      <c r="K375" t="str">
        <f>TEXT(Table1[[#This Row],[Order_Date]],"mmm")</f>
        <v>Oct</v>
      </c>
    </row>
    <row r="376" spans="1:11" x14ac:dyDescent="0.25">
      <c r="A376">
        <v>1375</v>
      </c>
      <c r="B376" s="1" t="s">
        <v>89</v>
      </c>
      <c r="C376" t="s">
        <v>24</v>
      </c>
      <c r="D376" t="s">
        <v>25</v>
      </c>
      <c r="E376" t="s">
        <v>17</v>
      </c>
      <c r="F376" t="s">
        <v>13</v>
      </c>
      <c r="G376">
        <v>4</v>
      </c>
      <c r="H376">
        <v>3000</v>
      </c>
      <c r="I376">
        <v>12000</v>
      </c>
      <c r="J376" s="2">
        <f t="shared" si="5"/>
        <v>45436</v>
      </c>
      <c r="K376" t="str">
        <f>TEXT(Table1[[#This Row],[Order_Date]],"mmm")</f>
        <v>May</v>
      </c>
    </row>
    <row r="377" spans="1:11" x14ac:dyDescent="0.25">
      <c r="A377">
        <v>1376</v>
      </c>
      <c r="B377" s="1" t="s">
        <v>251</v>
      </c>
      <c r="C377" t="s">
        <v>28</v>
      </c>
      <c r="D377" t="s">
        <v>11</v>
      </c>
      <c r="E377" t="s">
        <v>48</v>
      </c>
      <c r="F377" t="s">
        <v>44</v>
      </c>
      <c r="G377">
        <v>4</v>
      </c>
      <c r="H377">
        <v>5000</v>
      </c>
      <c r="I377">
        <v>20000</v>
      </c>
      <c r="J377" s="2">
        <f t="shared" si="5"/>
        <v>45509</v>
      </c>
      <c r="K377" t="str">
        <f>TEXT(Table1[[#This Row],[Order_Date]],"mmm")</f>
        <v>Aug</v>
      </c>
    </row>
    <row r="378" spans="1:11" x14ac:dyDescent="0.25">
      <c r="A378">
        <v>1377</v>
      </c>
      <c r="B378" s="1" t="s">
        <v>282</v>
      </c>
      <c r="C378" t="s">
        <v>24</v>
      </c>
      <c r="D378" t="s">
        <v>16</v>
      </c>
      <c r="E378" t="s">
        <v>12</v>
      </c>
      <c r="F378" t="s">
        <v>13</v>
      </c>
      <c r="G378">
        <v>2</v>
      </c>
      <c r="H378">
        <v>800</v>
      </c>
      <c r="I378">
        <v>1600</v>
      </c>
      <c r="J378" s="2">
        <f t="shared" si="5"/>
        <v>45573</v>
      </c>
      <c r="K378" t="str">
        <f>TEXT(Table1[[#This Row],[Order_Date]],"mmm")</f>
        <v>Oct</v>
      </c>
    </row>
    <row r="379" spans="1:11" x14ac:dyDescent="0.25">
      <c r="A379">
        <v>1378</v>
      </c>
      <c r="B379" s="1" t="s">
        <v>283</v>
      </c>
      <c r="C379" t="s">
        <v>38</v>
      </c>
      <c r="D379" t="s">
        <v>39</v>
      </c>
      <c r="E379" t="s">
        <v>21</v>
      </c>
      <c r="F379" t="s">
        <v>22</v>
      </c>
      <c r="G379">
        <v>2</v>
      </c>
      <c r="H379">
        <v>50000</v>
      </c>
      <c r="I379">
        <v>100000</v>
      </c>
      <c r="J379" s="2">
        <f t="shared" si="5"/>
        <v>45569</v>
      </c>
      <c r="K379" t="str">
        <f>TEXT(Table1[[#This Row],[Order_Date]],"mmm")</f>
        <v>Oct</v>
      </c>
    </row>
    <row r="380" spans="1:11" x14ac:dyDescent="0.25">
      <c r="A380">
        <v>1379</v>
      </c>
      <c r="B380" s="1" t="s">
        <v>103</v>
      </c>
      <c r="C380" t="s">
        <v>28</v>
      </c>
      <c r="D380" t="s">
        <v>33</v>
      </c>
      <c r="E380" t="s">
        <v>17</v>
      </c>
      <c r="F380" t="s">
        <v>13</v>
      </c>
      <c r="G380">
        <v>4</v>
      </c>
      <c r="H380">
        <v>3000</v>
      </c>
      <c r="I380">
        <v>12000</v>
      </c>
      <c r="J380" s="2">
        <f t="shared" si="5"/>
        <v>45631</v>
      </c>
      <c r="K380" t="str">
        <f>TEXT(Table1[[#This Row],[Order_Date]],"mmm")</f>
        <v>Dec</v>
      </c>
    </row>
    <row r="381" spans="1:11" x14ac:dyDescent="0.25">
      <c r="A381">
        <v>1380</v>
      </c>
      <c r="B381" s="1" t="s">
        <v>284</v>
      </c>
      <c r="C381" t="s">
        <v>30</v>
      </c>
      <c r="D381" t="s">
        <v>47</v>
      </c>
      <c r="E381" t="s">
        <v>12</v>
      </c>
      <c r="F381" t="s">
        <v>13</v>
      </c>
      <c r="G381">
        <v>3</v>
      </c>
      <c r="H381">
        <v>800</v>
      </c>
      <c r="I381">
        <v>2400</v>
      </c>
      <c r="J381" s="2">
        <f t="shared" si="5"/>
        <v>45549</v>
      </c>
      <c r="K381" t="str">
        <f>TEXT(Table1[[#This Row],[Order_Date]],"mmm")</f>
        <v>Sep</v>
      </c>
    </row>
    <row r="382" spans="1:11" x14ac:dyDescent="0.25">
      <c r="A382">
        <v>1381</v>
      </c>
      <c r="B382" s="1" t="s">
        <v>285</v>
      </c>
      <c r="C382" t="s">
        <v>24</v>
      </c>
      <c r="D382" t="s">
        <v>39</v>
      </c>
      <c r="E382" t="s">
        <v>35</v>
      </c>
      <c r="F382" t="s">
        <v>22</v>
      </c>
      <c r="G382">
        <v>1</v>
      </c>
      <c r="H382">
        <v>20000</v>
      </c>
      <c r="I382">
        <v>20000</v>
      </c>
      <c r="J382" s="2">
        <f t="shared" si="5"/>
        <v>45298</v>
      </c>
      <c r="K382" t="str">
        <f>TEXT(Table1[[#This Row],[Order_Date]],"mmm")</f>
        <v>Jan</v>
      </c>
    </row>
    <row r="383" spans="1:11" x14ac:dyDescent="0.25">
      <c r="A383">
        <v>1382</v>
      </c>
      <c r="B383" s="1" t="s">
        <v>286</v>
      </c>
      <c r="C383" t="s">
        <v>28</v>
      </c>
      <c r="D383" t="s">
        <v>39</v>
      </c>
      <c r="E383" t="s">
        <v>21</v>
      </c>
      <c r="F383" t="s">
        <v>22</v>
      </c>
      <c r="G383">
        <v>1</v>
      </c>
      <c r="H383">
        <v>50000</v>
      </c>
      <c r="I383">
        <v>50000</v>
      </c>
      <c r="J383" s="2">
        <f t="shared" si="5"/>
        <v>45508</v>
      </c>
      <c r="K383" t="str">
        <f>TEXT(Table1[[#This Row],[Order_Date]],"mmm")</f>
        <v>Aug</v>
      </c>
    </row>
    <row r="384" spans="1:11" x14ac:dyDescent="0.25">
      <c r="A384">
        <v>1383</v>
      </c>
      <c r="B384" s="1" t="s">
        <v>75</v>
      </c>
      <c r="C384" t="s">
        <v>57</v>
      </c>
      <c r="D384" t="s">
        <v>11</v>
      </c>
      <c r="E384" t="s">
        <v>43</v>
      </c>
      <c r="F384" t="s">
        <v>44</v>
      </c>
      <c r="G384">
        <v>1</v>
      </c>
      <c r="H384">
        <v>1500</v>
      </c>
      <c r="I384">
        <v>1500</v>
      </c>
      <c r="J384" s="2">
        <f t="shared" si="5"/>
        <v>45552</v>
      </c>
      <c r="K384" t="str">
        <f>TEXT(Table1[[#This Row],[Order_Date]],"mmm")</f>
        <v>Sep</v>
      </c>
    </row>
    <row r="385" spans="1:11" x14ac:dyDescent="0.25">
      <c r="A385">
        <v>1384</v>
      </c>
      <c r="B385" s="1" t="s">
        <v>191</v>
      </c>
      <c r="C385" t="s">
        <v>19</v>
      </c>
      <c r="D385" t="s">
        <v>25</v>
      </c>
      <c r="E385" t="s">
        <v>43</v>
      </c>
      <c r="F385" t="s">
        <v>44</v>
      </c>
      <c r="G385">
        <v>3</v>
      </c>
      <c r="H385">
        <v>1500</v>
      </c>
      <c r="I385">
        <v>4500</v>
      </c>
      <c r="J385" s="2">
        <f t="shared" si="5"/>
        <v>45591</v>
      </c>
      <c r="K385" t="str">
        <f>TEXT(Table1[[#This Row],[Order_Date]],"mmm")</f>
        <v>Oct</v>
      </c>
    </row>
    <row r="386" spans="1:11" x14ac:dyDescent="0.25">
      <c r="A386">
        <v>1385</v>
      </c>
      <c r="B386" s="1" t="s">
        <v>287</v>
      </c>
      <c r="C386" t="s">
        <v>57</v>
      </c>
      <c r="D386" t="s">
        <v>33</v>
      </c>
      <c r="E386" t="s">
        <v>26</v>
      </c>
      <c r="F386" t="s">
        <v>22</v>
      </c>
      <c r="G386">
        <v>2</v>
      </c>
      <c r="H386">
        <v>2500</v>
      </c>
      <c r="I386">
        <v>5000</v>
      </c>
      <c r="J386" s="2">
        <f t="shared" ref="J386:J449" si="6">DATE(RIGHT(B386,4), MID(B386,4,2), LEFT(B386,2))</f>
        <v>45561</v>
      </c>
      <c r="K386" t="str">
        <f>TEXT(Table1[[#This Row],[Order_Date]],"mmm")</f>
        <v>Sep</v>
      </c>
    </row>
    <row r="387" spans="1:11" x14ac:dyDescent="0.25">
      <c r="A387">
        <v>1386</v>
      </c>
      <c r="B387" s="1" t="s">
        <v>287</v>
      </c>
      <c r="C387" t="s">
        <v>10</v>
      </c>
      <c r="D387" t="s">
        <v>11</v>
      </c>
      <c r="E387" t="s">
        <v>43</v>
      </c>
      <c r="F387" t="s">
        <v>44</v>
      </c>
      <c r="G387">
        <v>1</v>
      </c>
      <c r="H387">
        <v>1500</v>
      </c>
      <c r="I387">
        <v>1500</v>
      </c>
      <c r="J387" s="2">
        <f t="shared" si="6"/>
        <v>45561</v>
      </c>
      <c r="K387" t="str">
        <f>TEXT(Table1[[#This Row],[Order_Date]],"mmm")</f>
        <v>Sep</v>
      </c>
    </row>
    <row r="388" spans="1:11" x14ac:dyDescent="0.25">
      <c r="A388">
        <v>1387</v>
      </c>
      <c r="B388" s="1" t="s">
        <v>173</v>
      </c>
      <c r="C388" t="s">
        <v>30</v>
      </c>
      <c r="D388" t="s">
        <v>33</v>
      </c>
      <c r="E388" t="s">
        <v>43</v>
      </c>
      <c r="F388" t="s">
        <v>44</v>
      </c>
      <c r="G388">
        <v>4</v>
      </c>
      <c r="H388">
        <v>1500</v>
      </c>
      <c r="I388">
        <v>6000</v>
      </c>
      <c r="J388" s="2">
        <f t="shared" si="6"/>
        <v>45314</v>
      </c>
      <c r="K388" t="str">
        <f>TEXT(Table1[[#This Row],[Order_Date]],"mmm")</f>
        <v>Jan</v>
      </c>
    </row>
    <row r="389" spans="1:11" x14ac:dyDescent="0.25">
      <c r="A389">
        <v>1388</v>
      </c>
      <c r="B389" s="1" t="s">
        <v>171</v>
      </c>
      <c r="C389" t="s">
        <v>38</v>
      </c>
      <c r="D389" t="s">
        <v>20</v>
      </c>
      <c r="E389" t="s">
        <v>51</v>
      </c>
      <c r="F389" t="s">
        <v>13</v>
      </c>
      <c r="G389">
        <v>3</v>
      </c>
      <c r="H389">
        <v>2000</v>
      </c>
      <c r="I389">
        <v>6000</v>
      </c>
      <c r="J389" s="2">
        <f t="shared" si="6"/>
        <v>45609</v>
      </c>
      <c r="K389" t="str">
        <f>TEXT(Table1[[#This Row],[Order_Date]],"mmm")</f>
        <v>Nov</v>
      </c>
    </row>
    <row r="390" spans="1:11" x14ac:dyDescent="0.25">
      <c r="A390">
        <v>1389</v>
      </c>
      <c r="B390" s="1" t="s">
        <v>209</v>
      </c>
      <c r="C390" t="s">
        <v>30</v>
      </c>
      <c r="D390" t="s">
        <v>33</v>
      </c>
      <c r="E390" t="s">
        <v>35</v>
      </c>
      <c r="F390" t="s">
        <v>22</v>
      </c>
      <c r="G390">
        <v>3</v>
      </c>
      <c r="H390">
        <v>20000</v>
      </c>
      <c r="I390">
        <v>60000</v>
      </c>
      <c r="J390" s="2">
        <f t="shared" si="6"/>
        <v>45642</v>
      </c>
      <c r="K390" t="str">
        <f>TEXT(Table1[[#This Row],[Order_Date]],"mmm")</f>
        <v>Dec</v>
      </c>
    </row>
    <row r="391" spans="1:11" x14ac:dyDescent="0.25">
      <c r="A391">
        <v>1390</v>
      </c>
      <c r="B391" s="1" t="s">
        <v>288</v>
      </c>
      <c r="C391" t="s">
        <v>53</v>
      </c>
      <c r="D391" t="s">
        <v>20</v>
      </c>
      <c r="E391" t="s">
        <v>26</v>
      </c>
      <c r="F391" t="s">
        <v>22</v>
      </c>
      <c r="G391">
        <v>2</v>
      </c>
      <c r="H391">
        <v>2500</v>
      </c>
      <c r="I391">
        <v>5000</v>
      </c>
      <c r="J391" s="2">
        <f t="shared" si="6"/>
        <v>45479</v>
      </c>
      <c r="K391" t="str">
        <f>TEXT(Table1[[#This Row],[Order_Date]],"mmm")</f>
        <v>Jul</v>
      </c>
    </row>
    <row r="392" spans="1:11" x14ac:dyDescent="0.25">
      <c r="A392">
        <v>1391</v>
      </c>
      <c r="B392" s="1" t="s">
        <v>255</v>
      </c>
      <c r="C392" t="s">
        <v>28</v>
      </c>
      <c r="D392" t="s">
        <v>20</v>
      </c>
      <c r="E392" t="s">
        <v>21</v>
      </c>
      <c r="F392" t="s">
        <v>22</v>
      </c>
      <c r="G392">
        <v>2</v>
      </c>
      <c r="H392">
        <v>50000</v>
      </c>
      <c r="I392">
        <v>100000</v>
      </c>
      <c r="J392" s="2">
        <f t="shared" si="6"/>
        <v>45464</v>
      </c>
      <c r="K392" t="str">
        <f>TEXT(Table1[[#This Row],[Order_Date]],"mmm")</f>
        <v>Jun</v>
      </c>
    </row>
    <row r="393" spans="1:11" x14ac:dyDescent="0.25">
      <c r="A393">
        <v>1392</v>
      </c>
      <c r="B393" s="1" t="s">
        <v>289</v>
      </c>
      <c r="C393" t="s">
        <v>24</v>
      </c>
      <c r="D393" t="s">
        <v>11</v>
      </c>
      <c r="E393" t="s">
        <v>17</v>
      </c>
      <c r="F393" t="s">
        <v>13</v>
      </c>
      <c r="G393">
        <v>1</v>
      </c>
      <c r="H393">
        <v>3000</v>
      </c>
      <c r="I393">
        <v>3000</v>
      </c>
      <c r="J393" s="2">
        <f t="shared" si="6"/>
        <v>45500</v>
      </c>
      <c r="K393" t="str">
        <f>TEXT(Table1[[#This Row],[Order_Date]],"mmm")</f>
        <v>Jul</v>
      </c>
    </row>
    <row r="394" spans="1:11" x14ac:dyDescent="0.25">
      <c r="A394">
        <v>1393</v>
      </c>
      <c r="B394" s="1" t="s">
        <v>64</v>
      </c>
      <c r="C394" t="s">
        <v>15</v>
      </c>
      <c r="D394" t="s">
        <v>20</v>
      </c>
      <c r="E394" t="s">
        <v>26</v>
      </c>
      <c r="F394" t="s">
        <v>22</v>
      </c>
      <c r="G394">
        <v>1</v>
      </c>
      <c r="H394">
        <v>2500</v>
      </c>
      <c r="I394">
        <v>2500</v>
      </c>
      <c r="J394" s="2">
        <f t="shared" si="6"/>
        <v>45537</v>
      </c>
      <c r="K394" t="str">
        <f>TEXT(Table1[[#This Row],[Order_Date]],"mmm")</f>
        <v>Sep</v>
      </c>
    </row>
    <row r="395" spans="1:11" x14ac:dyDescent="0.25">
      <c r="A395">
        <v>1394</v>
      </c>
      <c r="B395" s="1" t="s">
        <v>223</v>
      </c>
      <c r="C395" t="s">
        <v>10</v>
      </c>
      <c r="D395" t="s">
        <v>11</v>
      </c>
      <c r="E395" t="s">
        <v>48</v>
      </c>
      <c r="F395" t="s">
        <v>44</v>
      </c>
      <c r="G395">
        <v>2</v>
      </c>
      <c r="H395">
        <v>5000</v>
      </c>
      <c r="I395">
        <v>10000</v>
      </c>
      <c r="J395" s="2">
        <f t="shared" si="6"/>
        <v>45655</v>
      </c>
      <c r="K395" t="str">
        <f>TEXT(Table1[[#This Row],[Order_Date]],"mmm")</f>
        <v>Dec</v>
      </c>
    </row>
    <row r="396" spans="1:11" x14ac:dyDescent="0.25">
      <c r="A396">
        <v>1395</v>
      </c>
      <c r="B396" s="1" t="s">
        <v>185</v>
      </c>
      <c r="C396" t="s">
        <v>30</v>
      </c>
      <c r="D396" t="s">
        <v>33</v>
      </c>
      <c r="E396" t="s">
        <v>21</v>
      </c>
      <c r="F396" t="s">
        <v>22</v>
      </c>
      <c r="G396">
        <v>4</v>
      </c>
      <c r="H396">
        <v>50000</v>
      </c>
      <c r="I396">
        <v>200000</v>
      </c>
      <c r="J396" s="2">
        <f t="shared" si="6"/>
        <v>45546</v>
      </c>
      <c r="K396" t="str">
        <f>TEXT(Table1[[#This Row],[Order_Date]],"mmm")</f>
        <v>Sep</v>
      </c>
    </row>
    <row r="397" spans="1:11" x14ac:dyDescent="0.25">
      <c r="A397">
        <v>1396</v>
      </c>
      <c r="B397" s="1" t="s">
        <v>290</v>
      </c>
      <c r="C397" t="s">
        <v>24</v>
      </c>
      <c r="D397" t="s">
        <v>33</v>
      </c>
      <c r="E397" t="s">
        <v>51</v>
      </c>
      <c r="F397" t="s">
        <v>13</v>
      </c>
      <c r="G397">
        <v>5</v>
      </c>
      <c r="H397">
        <v>2000</v>
      </c>
      <c r="I397">
        <v>10000</v>
      </c>
      <c r="J397" s="2">
        <f t="shared" si="6"/>
        <v>45520</v>
      </c>
      <c r="K397" t="str">
        <f>TEXT(Table1[[#This Row],[Order_Date]],"mmm")</f>
        <v>Aug</v>
      </c>
    </row>
    <row r="398" spans="1:11" x14ac:dyDescent="0.25">
      <c r="A398">
        <v>1397</v>
      </c>
      <c r="B398" s="1" t="s">
        <v>83</v>
      </c>
      <c r="C398" t="s">
        <v>32</v>
      </c>
      <c r="D398" t="s">
        <v>33</v>
      </c>
      <c r="E398" t="s">
        <v>12</v>
      </c>
      <c r="F398" t="s">
        <v>13</v>
      </c>
      <c r="G398">
        <v>4</v>
      </c>
      <c r="H398">
        <v>800</v>
      </c>
      <c r="I398">
        <v>3200</v>
      </c>
      <c r="J398" s="2">
        <f t="shared" si="6"/>
        <v>45601</v>
      </c>
      <c r="K398" t="str">
        <f>TEXT(Table1[[#This Row],[Order_Date]],"mmm")</f>
        <v>Nov</v>
      </c>
    </row>
    <row r="399" spans="1:11" x14ac:dyDescent="0.25">
      <c r="A399">
        <v>1398</v>
      </c>
      <c r="B399" s="1" t="s">
        <v>286</v>
      </c>
      <c r="C399" t="s">
        <v>32</v>
      </c>
      <c r="D399" t="s">
        <v>11</v>
      </c>
      <c r="E399" t="s">
        <v>48</v>
      </c>
      <c r="F399" t="s">
        <v>44</v>
      </c>
      <c r="G399">
        <v>4</v>
      </c>
      <c r="H399">
        <v>5000</v>
      </c>
      <c r="I399">
        <v>20000</v>
      </c>
      <c r="J399" s="2">
        <f t="shared" si="6"/>
        <v>45508</v>
      </c>
      <c r="K399" t="str">
        <f>TEXT(Table1[[#This Row],[Order_Date]],"mmm")</f>
        <v>Aug</v>
      </c>
    </row>
    <row r="400" spans="1:11" x14ac:dyDescent="0.25">
      <c r="A400">
        <v>1399</v>
      </c>
      <c r="B400" s="1" t="s">
        <v>226</v>
      </c>
      <c r="C400" t="s">
        <v>57</v>
      </c>
      <c r="D400" t="s">
        <v>39</v>
      </c>
      <c r="E400" t="s">
        <v>26</v>
      </c>
      <c r="F400" t="s">
        <v>22</v>
      </c>
      <c r="G400">
        <v>4</v>
      </c>
      <c r="H400">
        <v>2500</v>
      </c>
      <c r="I400">
        <v>10000</v>
      </c>
      <c r="J400" s="2">
        <f t="shared" si="6"/>
        <v>45556</v>
      </c>
      <c r="K400" t="str">
        <f>TEXT(Table1[[#This Row],[Order_Date]],"mmm")</f>
        <v>Sep</v>
      </c>
    </row>
    <row r="401" spans="1:11" x14ac:dyDescent="0.25">
      <c r="A401">
        <v>1400</v>
      </c>
      <c r="B401" s="1" t="s">
        <v>291</v>
      </c>
      <c r="C401" t="s">
        <v>38</v>
      </c>
      <c r="D401" t="s">
        <v>20</v>
      </c>
      <c r="E401" t="s">
        <v>51</v>
      </c>
      <c r="F401" t="s">
        <v>13</v>
      </c>
      <c r="G401">
        <v>1</v>
      </c>
      <c r="H401">
        <v>2000</v>
      </c>
      <c r="I401">
        <v>2000</v>
      </c>
      <c r="J401" s="2">
        <f t="shared" si="6"/>
        <v>45463</v>
      </c>
      <c r="K401" t="str">
        <f>TEXT(Table1[[#This Row],[Order_Date]],"mmm")</f>
        <v>Jun</v>
      </c>
    </row>
    <row r="402" spans="1:11" x14ac:dyDescent="0.25">
      <c r="A402">
        <v>1401</v>
      </c>
      <c r="B402" s="1" t="s">
        <v>227</v>
      </c>
      <c r="C402" t="s">
        <v>50</v>
      </c>
      <c r="D402" t="s">
        <v>11</v>
      </c>
      <c r="E402" t="s">
        <v>12</v>
      </c>
      <c r="F402" t="s">
        <v>13</v>
      </c>
      <c r="G402">
        <v>4</v>
      </c>
      <c r="H402">
        <v>800</v>
      </c>
      <c r="I402">
        <v>3200</v>
      </c>
      <c r="J402" s="2">
        <f t="shared" si="6"/>
        <v>45295</v>
      </c>
      <c r="K402" t="str">
        <f>TEXT(Table1[[#This Row],[Order_Date]],"mmm")</f>
        <v>Jan</v>
      </c>
    </row>
    <row r="403" spans="1:11" x14ac:dyDescent="0.25">
      <c r="A403">
        <v>1402</v>
      </c>
      <c r="B403" s="1" t="s">
        <v>292</v>
      </c>
      <c r="C403" t="s">
        <v>53</v>
      </c>
      <c r="D403" t="s">
        <v>39</v>
      </c>
      <c r="E403" t="s">
        <v>21</v>
      </c>
      <c r="F403" t="s">
        <v>22</v>
      </c>
      <c r="G403">
        <v>4</v>
      </c>
      <c r="H403">
        <v>50000</v>
      </c>
      <c r="I403">
        <v>200000</v>
      </c>
      <c r="J403" s="2">
        <f t="shared" si="6"/>
        <v>45610</v>
      </c>
      <c r="K403" t="str">
        <f>TEXT(Table1[[#This Row],[Order_Date]],"mmm")</f>
        <v>Nov</v>
      </c>
    </row>
    <row r="404" spans="1:11" x14ac:dyDescent="0.25">
      <c r="A404">
        <v>1403</v>
      </c>
      <c r="B404" s="1" t="s">
        <v>153</v>
      </c>
      <c r="C404" t="s">
        <v>15</v>
      </c>
      <c r="D404" t="s">
        <v>47</v>
      </c>
      <c r="E404" t="s">
        <v>48</v>
      </c>
      <c r="F404" t="s">
        <v>44</v>
      </c>
      <c r="G404">
        <v>3</v>
      </c>
      <c r="H404">
        <v>5000</v>
      </c>
      <c r="I404">
        <v>15000</v>
      </c>
      <c r="J404" s="2">
        <f t="shared" si="6"/>
        <v>45421</v>
      </c>
      <c r="K404" t="str">
        <f>TEXT(Table1[[#This Row],[Order_Date]],"mmm")</f>
        <v>May</v>
      </c>
    </row>
    <row r="405" spans="1:11" x14ac:dyDescent="0.25">
      <c r="A405">
        <v>1404</v>
      </c>
      <c r="B405" s="1" t="s">
        <v>115</v>
      </c>
      <c r="C405" t="s">
        <v>50</v>
      </c>
      <c r="D405" t="s">
        <v>16</v>
      </c>
      <c r="E405" t="s">
        <v>43</v>
      </c>
      <c r="F405" t="s">
        <v>44</v>
      </c>
      <c r="G405">
        <v>2</v>
      </c>
      <c r="H405">
        <v>1500</v>
      </c>
      <c r="I405">
        <v>3000</v>
      </c>
      <c r="J405" s="2">
        <f t="shared" si="6"/>
        <v>45605</v>
      </c>
      <c r="K405" t="str">
        <f>TEXT(Table1[[#This Row],[Order_Date]],"mmm")</f>
        <v>Nov</v>
      </c>
    </row>
    <row r="406" spans="1:11" x14ac:dyDescent="0.25">
      <c r="A406">
        <v>1405</v>
      </c>
      <c r="B406" s="1" t="s">
        <v>187</v>
      </c>
      <c r="C406" t="s">
        <v>57</v>
      </c>
      <c r="D406" t="s">
        <v>20</v>
      </c>
      <c r="E406" t="s">
        <v>35</v>
      </c>
      <c r="F406" t="s">
        <v>22</v>
      </c>
      <c r="G406">
        <v>5</v>
      </c>
      <c r="H406">
        <v>20000</v>
      </c>
      <c r="I406">
        <v>100000</v>
      </c>
      <c r="J406" s="2">
        <f t="shared" si="6"/>
        <v>45429</v>
      </c>
      <c r="K406" t="str">
        <f>TEXT(Table1[[#This Row],[Order_Date]],"mmm")</f>
        <v>May</v>
      </c>
    </row>
    <row r="407" spans="1:11" x14ac:dyDescent="0.25">
      <c r="A407">
        <v>1406</v>
      </c>
      <c r="B407" s="1" t="s">
        <v>293</v>
      </c>
      <c r="C407" t="s">
        <v>19</v>
      </c>
      <c r="D407" t="s">
        <v>25</v>
      </c>
      <c r="E407" t="s">
        <v>26</v>
      </c>
      <c r="F407" t="s">
        <v>22</v>
      </c>
      <c r="G407">
        <v>1</v>
      </c>
      <c r="H407">
        <v>2500</v>
      </c>
      <c r="I407">
        <v>2500</v>
      </c>
      <c r="J407" s="2">
        <f t="shared" si="6"/>
        <v>45565</v>
      </c>
      <c r="K407" t="str">
        <f>TEXT(Table1[[#This Row],[Order_Date]],"mmm")</f>
        <v>Sep</v>
      </c>
    </row>
    <row r="408" spans="1:11" x14ac:dyDescent="0.25">
      <c r="A408">
        <v>1407</v>
      </c>
      <c r="B408" s="1" t="s">
        <v>201</v>
      </c>
      <c r="C408" t="s">
        <v>38</v>
      </c>
      <c r="D408" t="s">
        <v>39</v>
      </c>
      <c r="E408" t="s">
        <v>17</v>
      </c>
      <c r="F408" t="s">
        <v>13</v>
      </c>
      <c r="G408">
        <v>3</v>
      </c>
      <c r="H408">
        <v>3000</v>
      </c>
      <c r="I408">
        <v>9000</v>
      </c>
      <c r="J408" s="2">
        <f t="shared" si="6"/>
        <v>45513</v>
      </c>
      <c r="K408" t="str">
        <f>TEXT(Table1[[#This Row],[Order_Date]],"mmm")</f>
        <v>Aug</v>
      </c>
    </row>
    <row r="409" spans="1:11" x14ac:dyDescent="0.25">
      <c r="A409">
        <v>1408</v>
      </c>
      <c r="B409" s="1" t="s">
        <v>197</v>
      </c>
      <c r="C409" t="s">
        <v>19</v>
      </c>
      <c r="D409" t="s">
        <v>47</v>
      </c>
      <c r="E409" t="s">
        <v>12</v>
      </c>
      <c r="F409" t="s">
        <v>13</v>
      </c>
      <c r="G409">
        <v>3</v>
      </c>
      <c r="H409">
        <v>800</v>
      </c>
      <c r="I409">
        <v>2400</v>
      </c>
      <c r="J409" s="2">
        <f t="shared" si="6"/>
        <v>45434</v>
      </c>
      <c r="K409" t="str">
        <f>TEXT(Table1[[#This Row],[Order_Date]],"mmm")</f>
        <v>May</v>
      </c>
    </row>
    <row r="410" spans="1:11" x14ac:dyDescent="0.25">
      <c r="A410">
        <v>1409</v>
      </c>
      <c r="B410" s="1" t="s">
        <v>208</v>
      </c>
      <c r="C410" t="s">
        <v>50</v>
      </c>
      <c r="D410" t="s">
        <v>33</v>
      </c>
      <c r="E410" t="s">
        <v>17</v>
      </c>
      <c r="F410" t="s">
        <v>13</v>
      </c>
      <c r="G410">
        <v>2</v>
      </c>
      <c r="H410">
        <v>3000</v>
      </c>
      <c r="I410">
        <v>6000</v>
      </c>
      <c r="J410" s="2">
        <f t="shared" si="6"/>
        <v>45652</v>
      </c>
      <c r="K410" t="str">
        <f>TEXT(Table1[[#This Row],[Order_Date]],"mmm")</f>
        <v>Dec</v>
      </c>
    </row>
    <row r="411" spans="1:11" x14ac:dyDescent="0.25">
      <c r="A411">
        <v>1410</v>
      </c>
      <c r="B411" s="1" t="s">
        <v>40</v>
      </c>
      <c r="C411" t="s">
        <v>53</v>
      </c>
      <c r="D411" t="s">
        <v>11</v>
      </c>
      <c r="E411" t="s">
        <v>48</v>
      </c>
      <c r="F411" t="s">
        <v>44</v>
      </c>
      <c r="G411">
        <v>2</v>
      </c>
      <c r="H411">
        <v>5000</v>
      </c>
      <c r="I411">
        <v>10000</v>
      </c>
      <c r="J411" s="2">
        <f t="shared" si="6"/>
        <v>45583</v>
      </c>
      <c r="K411" t="str">
        <f>TEXT(Table1[[#This Row],[Order_Date]],"mmm")</f>
        <v>Oct</v>
      </c>
    </row>
    <row r="412" spans="1:11" x14ac:dyDescent="0.25">
      <c r="A412">
        <v>1411</v>
      </c>
      <c r="B412" s="1" t="s">
        <v>294</v>
      </c>
      <c r="C412" t="s">
        <v>30</v>
      </c>
      <c r="D412" t="s">
        <v>20</v>
      </c>
      <c r="E412" t="s">
        <v>21</v>
      </c>
      <c r="F412" t="s">
        <v>22</v>
      </c>
      <c r="G412">
        <v>2</v>
      </c>
      <c r="H412">
        <v>50000</v>
      </c>
      <c r="I412">
        <v>100000</v>
      </c>
      <c r="J412" s="2">
        <f t="shared" si="6"/>
        <v>45595</v>
      </c>
      <c r="K412" t="str">
        <f>TEXT(Table1[[#This Row],[Order_Date]],"mmm")</f>
        <v>Oct</v>
      </c>
    </row>
    <row r="413" spans="1:11" x14ac:dyDescent="0.25">
      <c r="A413">
        <v>1412</v>
      </c>
      <c r="B413" s="1" t="s">
        <v>295</v>
      </c>
      <c r="C413" t="s">
        <v>57</v>
      </c>
      <c r="D413" t="s">
        <v>33</v>
      </c>
      <c r="E413" t="s">
        <v>12</v>
      </c>
      <c r="F413" t="s">
        <v>13</v>
      </c>
      <c r="G413">
        <v>5</v>
      </c>
      <c r="H413">
        <v>800</v>
      </c>
      <c r="I413">
        <v>4000</v>
      </c>
      <c r="J413" s="2">
        <f t="shared" si="6"/>
        <v>45640</v>
      </c>
      <c r="K413" t="str">
        <f>TEXT(Table1[[#This Row],[Order_Date]],"mmm")</f>
        <v>Dec</v>
      </c>
    </row>
    <row r="414" spans="1:11" x14ac:dyDescent="0.25">
      <c r="A414">
        <v>1413</v>
      </c>
      <c r="B414" s="1" t="s">
        <v>107</v>
      </c>
      <c r="C414" t="s">
        <v>42</v>
      </c>
      <c r="D414" t="s">
        <v>39</v>
      </c>
      <c r="E414" t="s">
        <v>35</v>
      </c>
      <c r="F414" t="s">
        <v>22</v>
      </c>
      <c r="G414">
        <v>1</v>
      </c>
      <c r="H414">
        <v>20000</v>
      </c>
      <c r="I414">
        <v>20000</v>
      </c>
      <c r="J414" s="2">
        <f t="shared" si="6"/>
        <v>45539</v>
      </c>
      <c r="K414" t="str">
        <f>TEXT(Table1[[#This Row],[Order_Date]],"mmm")</f>
        <v>Sep</v>
      </c>
    </row>
    <row r="415" spans="1:11" x14ac:dyDescent="0.25">
      <c r="A415">
        <v>1414</v>
      </c>
      <c r="B415" s="1" t="s">
        <v>76</v>
      </c>
      <c r="C415" t="s">
        <v>24</v>
      </c>
      <c r="D415" t="s">
        <v>33</v>
      </c>
      <c r="E415" t="s">
        <v>26</v>
      </c>
      <c r="F415" t="s">
        <v>22</v>
      </c>
      <c r="G415">
        <v>3</v>
      </c>
      <c r="H415">
        <v>2500</v>
      </c>
      <c r="I415">
        <v>7500</v>
      </c>
      <c r="J415" s="2">
        <f t="shared" si="6"/>
        <v>45313</v>
      </c>
      <c r="K415" t="str">
        <f>TEXT(Table1[[#This Row],[Order_Date]],"mmm")</f>
        <v>Jan</v>
      </c>
    </row>
    <row r="416" spans="1:11" x14ac:dyDescent="0.25">
      <c r="A416">
        <v>1415</v>
      </c>
      <c r="B416" s="1" t="s">
        <v>246</v>
      </c>
      <c r="C416" t="s">
        <v>32</v>
      </c>
      <c r="D416" t="s">
        <v>39</v>
      </c>
      <c r="E416" t="s">
        <v>51</v>
      </c>
      <c r="F416" t="s">
        <v>13</v>
      </c>
      <c r="G416">
        <v>3</v>
      </c>
      <c r="H416">
        <v>2000</v>
      </c>
      <c r="I416">
        <v>6000</v>
      </c>
      <c r="J416" s="2">
        <f t="shared" si="6"/>
        <v>45619</v>
      </c>
      <c r="K416" t="str">
        <f>TEXT(Table1[[#This Row],[Order_Date]],"mmm")</f>
        <v>Nov</v>
      </c>
    </row>
    <row r="417" spans="1:11" x14ac:dyDescent="0.25">
      <c r="A417">
        <v>1416</v>
      </c>
      <c r="B417" s="1" t="s">
        <v>296</v>
      </c>
      <c r="C417" t="s">
        <v>57</v>
      </c>
      <c r="D417" t="s">
        <v>20</v>
      </c>
      <c r="E417" t="s">
        <v>48</v>
      </c>
      <c r="F417" t="s">
        <v>44</v>
      </c>
      <c r="G417">
        <v>4</v>
      </c>
      <c r="H417">
        <v>5000</v>
      </c>
      <c r="I417">
        <v>20000</v>
      </c>
      <c r="J417" s="2">
        <f t="shared" si="6"/>
        <v>45524</v>
      </c>
      <c r="K417" t="str">
        <f>TEXT(Table1[[#This Row],[Order_Date]],"mmm")</f>
        <v>Aug</v>
      </c>
    </row>
    <row r="418" spans="1:11" x14ac:dyDescent="0.25">
      <c r="A418">
        <v>1417</v>
      </c>
      <c r="B418" s="1" t="s">
        <v>142</v>
      </c>
      <c r="C418" t="s">
        <v>42</v>
      </c>
      <c r="D418" t="s">
        <v>47</v>
      </c>
      <c r="E418" t="s">
        <v>26</v>
      </c>
      <c r="F418" t="s">
        <v>22</v>
      </c>
      <c r="G418">
        <v>2</v>
      </c>
      <c r="H418">
        <v>2500</v>
      </c>
      <c r="I418">
        <v>5000</v>
      </c>
      <c r="J418" s="2">
        <f t="shared" si="6"/>
        <v>45547</v>
      </c>
      <c r="K418" t="str">
        <f>TEXT(Table1[[#This Row],[Order_Date]],"mmm")</f>
        <v>Sep</v>
      </c>
    </row>
    <row r="419" spans="1:11" x14ac:dyDescent="0.25">
      <c r="A419">
        <v>1418</v>
      </c>
      <c r="B419" s="1" t="s">
        <v>199</v>
      </c>
      <c r="C419" t="s">
        <v>42</v>
      </c>
      <c r="D419" t="s">
        <v>39</v>
      </c>
      <c r="E419" t="s">
        <v>26</v>
      </c>
      <c r="F419" t="s">
        <v>22</v>
      </c>
      <c r="G419">
        <v>4</v>
      </c>
      <c r="H419">
        <v>2500</v>
      </c>
      <c r="I419">
        <v>10000</v>
      </c>
      <c r="J419" s="2">
        <f t="shared" si="6"/>
        <v>45492</v>
      </c>
      <c r="K419" t="str">
        <f>TEXT(Table1[[#This Row],[Order_Date]],"mmm")</f>
        <v>Jul</v>
      </c>
    </row>
    <row r="420" spans="1:11" x14ac:dyDescent="0.25">
      <c r="A420">
        <v>1419</v>
      </c>
      <c r="B420" s="1" t="s">
        <v>244</v>
      </c>
      <c r="C420" t="s">
        <v>42</v>
      </c>
      <c r="D420" t="s">
        <v>16</v>
      </c>
      <c r="E420" t="s">
        <v>35</v>
      </c>
      <c r="F420" t="s">
        <v>22</v>
      </c>
      <c r="G420">
        <v>2</v>
      </c>
      <c r="H420">
        <v>20000</v>
      </c>
      <c r="I420">
        <v>40000</v>
      </c>
      <c r="J420" s="2">
        <f t="shared" si="6"/>
        <v>45346</v>
      </c>
      <c r="K420" t="str">
        <f>TEXT(Table1[[#This Row],[Order_Date]],"mmm")</f>
        <v>Feb</v>
      </c>
    </row>
    <row r="421" spans="1:11" x14ac:dyDescent="0.25">
      <c r="A421">
        <v>1420</v>
      </c>
      <c r="B421" s="1" t="s">
        <v>297</v>
      </c>
      <c r="C421" t="s">
        <v>38</v>
      </c>
      <c r="D421" t="s">
        <v>16</v>
      </c>
      <c r="E421" t="s">
        <v>35</v>
      </c>
      <c r="F421" t="s">
        <v>22</v>
      </c>
      <c r="G421">
        <v>3</v>
      </c>
      <c r="H421">
        <v>20000</v>
      </c>
      <c r="I421">
        <v>60000</v>
      </c>
      <c r="J421" s="2">
        <f t="shared" si="6"/>
        <v>45432</v>
      </c>
      <c r="K421" t="str">
        <f>TEXT(Table1[[#This Row],[Order_Date]],"mmm")</f>
        <v>May</v>
      </c>
    </row>
    <row r="422" spans="1:11" x14ac:dyDescent="0.25">
      <c r="A422">
        <v>1421</v>
      </c>
      <c r="B422" s="1" t="s">
        <v>114</v>
      </c>
      <c r="C422" t="s">
        <v>15</v>
      </c>
      <c r="D422" t="s">
        <v>39</v>
      </c>
      <c r="E422" t="s">
        <v>12</v>
      </c>
      <c r="F422" t="s">
        <v>13</v>
      </c>
      <c r="G422">
        <v>1</v>
      </c>
      <c r="H422">
        <v>800</v>
      </c>
      <c r="I422">
        <v>800</v>
      </c>
      <c r="J422" s="2">
        <f t="shared" si="6"/>
        <v>45525</v>
      </c>
      <c r="K422" t="str">
        <f>TEXT(Table1[[#This Row],[Order_Date]],"mmm")</f>
        <v>Aug</v>
      </c>
    </row>
    <row r="423" spans="1:11" x14ac:dyDescent="0.25">
      <c r="A423">
        <v>1422</v>
      </c>
      <c r="B423" s="1" t="s">
        <v>61</v>
      </c>
      <c r="C423" t="s">
        <v>24</v>
      </c>
      <c r="D423" t="s">
        <v>33</v>
      </c>
      <c r="E423" t="s">
        <v>12</v>
      </c>
      <c r="F423" t="s">
        <v>13</v>
      </c>
      <c r="G423">
        <v>3</v>
      </c>
      <c r="H423">
        <v>800</v>
      </c>
      <c r="I423">
        <v>2400</v>
      </c>
      <c r="J423" s="2">
        <f t="shared" si="6"/>
        <v>45472</v>
      </c>
      <c r="K423" t="str">
        <f>TEXT(Table1[[#This Row],[Order_Date]],"mmm")</f>
        <v>Jun</v>
      </c>
    </row>
    <row r="424" spans="1:11" x14ac:dyDescent="0.25">
      <c r="A424">
        <v>1423</v>
      </c>
      <c r="B424" s="1" t="s">
        <v>121</v>
      </c>
      <c r="C424" t="s">
        <v>42</v>
      </c>
      <c r="D424" t="s">
        <v>25</v>
      </c>
      <c r="E424" t="s">
        <v>12</v>
      </c>
      <c r="F424" t="s">
        <v>13</v>
      </c>
      <c r="G424">
        <v>2</v>
      </c>
      <c r="H424">
        <v>800</v>
      </c>
      <c r="I424">
        <v>1600</v>
      </c>
      <c r="J424" s="2">
        <f t="shared" si="6"/>
        <v>45499</v>
      </c>
      <c r="K424" t="str">
        <f>TEXT(Table1[[#This Row],[Order_Date]],"mmm")</f>
        <v>Jul</v>
      </c>
    </row>
    <row r="425" spans="1:11" x14ac:dyDescent="0.25">
      <c r="A425">
        <v>1424</v>
      </c>
      <c r="B425" s="1" t="s">
        <v>115</v>
      </c>
      <c r="C425" t="s">
        <v>28</v>
      </c>
      <c r="D425" t="s">
        <v>25</v>
      </c>
      <c r="E425" t="s">
        <v>12</v>
      </c>
      <c r="F425" t="s">
        <v>13</v>
      </c>
      <c r="G425">
        <v>4</v>
      </c>
      <c r="H425">
        <v>800</v>
      </c>
      <c r="I425">
        <v>3200</v>
      </c>
      <c r="J425" s="2">
        <f t="shared" si="6"/>
        <v>45605</v>
      </c>
      <c r="K425" t="str">
        <f>TEXT(Table1[[#This Row],[Order_Date]],"mmm")</f>
        <v>Nov</v>
      </c>
    </row>
    <row r="426" spans="1:11" x14ac:dyDescent="0.25">
      <c r="A426">
        <v>1425</v>
      </c>
      <c r="B426" s="1" t="s">
        <v>150</v>
      </c>
      <c r="C426" t="s">
        <v>15</v>
      </c>
      <c r="D426" t="s">
        <v>16</v>
      </c>
      <c r="E426" t="s">
        <v>35</v>
      </c>
      <c r="F426" t="s">
        <v>22</v>
      </c>
      <c r="G426">
        <v>5</v>
      </c>
      <c r="H426">
        <v>20000</v>
      </c>
      <c r="I426">
        <v>100000</v>
      </c>
      <c r="J426" s="2">
        <f t="shared" si="6"/>
        <v>45368</v>
      </c>
      <c r="K426" t="str">
        <f>TEXT(Table1[[#This Row],[Order_Date]],"mmm")</f>
        <v>Mar</v>
      </c>
    </row>
    <row r="427" spans="1:11" x14ac:dyDescent="0.25">
      <c r="A427">
        <v>1426</v>
      </c>
      <c r="B427" s="1" t="s">
        <v>298</v>
      </c>
      <c r="C427" t="s">
        <v>38</v>
      </c>
      <c r="D427" t="s">
        <v>39</v>
      </c>
      <c r="E427" t="s">
        <v>51</v>
      </c>
      <c r="F427" t="s">
        <v>13</v>
      </c>
      <c r="G427">
        <v>3</v>
      </c>
      <c r="H427">
        <v>2000</v>
      </c>
      <c r="I427">
        <v>6000</v>
      </c>
      <c r="J427" s="2">
        <f t="shared" si="6"/>
        <v>45431</v>
      </c>
      <c r="K427" t="str">
        <f>TEXT(Table1[[#This Row],[Order_Date]],"mmm")</f>
        <v>May</v>
      </c>
    </row>
    <row r="428" spans="1:11" x14ac:dyDescent="0.25">
      <c r="A428">
        <v>1427</v>
      </c>
      <c r="B428" s="1" t="s">
        <v>27</v>
      </c>
      <c r="C428" t="s">
        <v>42</v>
      </c>
      <c r="D428" t="s">
        <v>39</v>
      </c>
      <c r="E428" t="s">
        <v>17</v>
      </c>
      <c r="F428" t="s">
        <v>13</v>
      </c>
      <c r="G428">
        <v>1</v>
      </c>
      <c r="H428">
        <v>3000</v>
      </c>
      <c r="I428">
        <v>3000</v>
      </c>
      <c r="J428" s="2">
        <f t="shared" si="6"/>
        <v>45465</v>
      </c>
      <c r="K428" t="str">
        <f>TEXT(Table1[[#This Row],[Order_Date]],"mmm")</f>
        <v>Jun</v>
      </c>
    </row>
    <row r="429" spans="1:11" x14ac:dyDescent="0.25">
      <c r="A429">
        <v>1428</v>
      </c>
      <c r="B429" s="1" t="s">
        <v>117</v>
      </c>
      <c r="C429" t="s">
        <v>42</v>
      </c>
      <c r="D429" t="s">
        <v>16</v>
      </c>
      <c r="E429" t="s">
        <v>51</v>
      </c>
      <c r="F429" t="s">
        <v>13</v>
      </c>
      <c r="G429">
        <v>1</v>
      </c>
      <c r="H429">
        <v>2000</v>
      </c>
      <c r="I429">
        <v>2000</v>
      </c>
      <c r="J429" s="2">
        <f t="shared" si="6"/>
        <v>45339</v>
      </c>
      <c r="K429" t="str">
        <f>TEXT(Table1[[#This Row],[Order_Date]],"mmm")</f>
        <v>Feb</v>
      </c>
    </row>
    <row r="430" spans="1:11" x14ac:dyDescent="0.25">
      <c r="A430">
        <v>1429</v>
      </c>
      <c r="B430" s="1" t="s">
        <v>222</v>
      </c>
      <c r="C430" t="s">
        <v>57</v>
      </c>
      <c r="D430" t="s">
        <v>11</v>
      </c>
      <c r="E430" t="s">
        <v>12</v>
      </c>
      <c r="F430" t="s">
        <v>13</v>
      </c>
      <c r="G430">
        <v>4</v>
      </c>
      <c r="H430">
        <v>800</v>
      </c>
      <c r="I430">
        <v>3200</v>
      </c>
      <c r="J430" s="2">
        <f t="shared" si="6"/>
        <v>45373</v>
      </c>
      <c r="K430" t="str">
        <f>TEXT(Table1[[#This Row],[Order_Date]],"mmm")</f>
        <v>Mar</v>
      </c>
    </row>
    <row r="431" spans="1:11" x14ac:dyDescent="0.25">
      <c r="A431">
        <v>1430</v>
      </c>
      <c r="B431" s="1" t="s">
        <v>87</v>
      </c>
      <c r="C431" t="s">
        <v>28</v>
      </c>
      <c r="D431" t="s">
        <v>33</v>
      </c>
      <c r="E431" t="s">
        <v>26</v>
      </c>
      <c r="F431" t="s">
        <v>22</v>
      </c>
      <c r="G431">
        <v>4</v>
      </c>
      <c r="H431">
        <v>2500</v>
      </c>
      <c r="I431">
        <v>10000</v>
      </c>
      <c r="J431" s="2">
        <f t="shared" si="6"/>
        <v>45352</v>
      </c>
      <c r="K431" t="str">
        <f>TEXT(Table1[[#This Row],[Order_Date]],"mmm")</f>
        <v>Mar</v>
      </c>
    </row>
    <row r="432" spans="1:11" x14ac:dyDescent="0.25">
      <c r="A432">
        <v>1431</v>
      </c>
      <c r="B432" s="1" t="s">
        <v>235</v>
      </c>
      <c r="C432" t="s">
        <v>10</v>
      </c>
      <c r="D432" t="s">
        <v>16</v>
      </c>
      <c r="E432" t="s">
        <v>43</v>
      </c>
      <c r="F432" t="s">
        <v>44</v>
      </c>
      <c r="G432">
        <v>1</v>
      </c>
      <c r="H432">
        <v>1500</v>
      </c>
      <c r="I432">
        <v>1500</v>
      </c>
      <c r="J432" s="2">
        <f t="shared" si="6"/>
        <v>45596</v>
      </c>
      <c r="K432" t="str">
        <f>TEXT(Table1[[#This Row],[Order_Date]],"mmm")</f>
        <v>Oct</v>
      </c>
    </row>
    <row r="433" spans="1:11" x14ac:dyDescent="0.25">
      <c r="A433">
        <v>1432</v>
      </c>
      <c r="B433" s="1" t="s">
        <v>181</v>
      </c>
      <c r="C433" t="s">
        <v>50</v>
      </c>
      <c r="D433" t="s">
        <v>11</v>
      </c>
      <c r="E433" t="s">
        <v>21</v>
      </c>
      <c r="F433" t="s">
        <v>22</v>
      </c>
      <c r="G433">
        <v>4</v>
      </c>
      <c r="H433">
        <v>50000</v>
      </c>
      <c r="I433">
        <v>200000</v>
      </c>
      <c r="J433" s="2">
        <f t="shared" si="6"/>
        <v>45455</v>
      </c>
      <c r="K433" t="str">
        <f>TEXT(Table1[[#This Row],[Order_Date]],"mmm")</f>
        <v>Jun</v>
      </c>
    </row>
    <row r="434" spans="1:11" x14ac:dyDescent="0.25">
      <c r="A434">
        <v>1433</v>
      </c>
      <c r="B434" s="1" t="s">
        <v>296</v>
      </c>
      <c r="C434" t="s">
        <v>24</v>
      </c>
      <c r="D434" t="s">
        <v>33</v>
      </c>
      <c r="E434" t="s">
        <v>21</v>
      </c>
      <c r="F434" t="s">
        <v>22</v>
      </c>
      <c r="G434">
        <v>1</v>
      </c>
      <c r="H434">
        <v>50000</v>
      </c>
      <c r="I434">
        <v>50000</v>
      </c>
      <c r="J434" s="2">
        <f t="shared" si="6"/>
        <v>45524</v>
      </c>
      <c r="K434" t="str">
        <f>TEXT(Table1[[#This Row],[Order_Date]],"mmm")</f>
        <v>Aug</v>
      </c>
    </row>
    <row r="435" spans="1:11" x14ac:dyDescent="0.25">
      <c r="A435">
        <v>1434</v>
      </c>
      <c r="B435" s="1" t="s">
        <v>299</v>
      </c>
      <c r="C435" t="s">
        <v>24</v>
      </c>
      <c r="D435" t="s">
        <v>16</v>
      </c>
      <c r="E435" t="s">
        <v>48</v>
      </c>
      <c r="F435" t="s">
        <v>44</v>
      </c>
      <c r="G435">
        <v>1</v>
      </c>
      <c r="H435">
        <v>5000</v>
      </c>
      <c r="I435">
        <v>5000</v>
      </c>
      <c r="J435" s="2">
        <f t="shared" si="6"/>
        <v>45308</v>
      </c>
      <c r="K435" t="str">
        <f>TEXT(Table1[[#This Row],[Order_Date]],"mmm")</f>
        <v>Jan</v>
      </c>
    </row>
    <row r="436" spans="1:11" x14ac:dyDescent="0.25">
      <c r="A436">
        <v>1435</v>
      </c>
      <c r="B436" s="1" t="s">
        <v>298</v>
      </c>
      <c r="C436" t="s">
        <v>57</v>
      </c>
      <c r="D436" t="s">
        <v>25</v>
      </c>
      <c r="E436" t="s">
        <v>17</v>
      </c>
      <c r="F436" t="s">
        <v>13</v>
      </c>
      <c r="G436">
        <v>3</v>
      </c>
      <c r="H436">
        <v>3000</v>
      </c>
      <c r="I436">
        <v>9000</v>
      </c>
      <c r="J436" s="2">
        <f t="shared" si="6"/>
        <v>45431</v>
      </c>
      <c r="K436" t="str">
        <f>TEXT(Table1[[#This Row],[Order_Date]],"mmm")</f>
        <v>May</v>
      </c>
    </row>
    <row r="437" spans="1:11" x14ac:dyDescent="0.25">
      <c r="A437">
        <v>1436</v>
      </c>
      <c r="B437" s="1" t="s">
        <v>188</v>
      </c>
      <c r="C437" t="s">
        <v>24</v>
      </c>
      <c r="D437" t="s">
        <v>11</v>
      </c>
      <c r="E437" t="s">
        <v>12</v>
      </c>
      <c r="F437" t="s">
        <v>13</v>
      </c>
      <c r="G437">
        <v>2</v>
      </c>
      <c r="H437">
        <v>800</v>
      </c>
      <c r="I437">
        <v>1600</v>
      </c>
      <c r="J437" s="2">
        <f t="shared" si="6"/>
        <v>45470</v>
      </c>
      <c r="K437" t="str">
        <f>TEXT(Table1[[#This Row],[Order_Date]],"mmm")</f>
        <v>Jun</v>
      </c>
    </row>
    <row r="438" spans="1:11" x14ac:dyDescent="0.25">
      <c r="A438">
        <v>1437</v>
      </c>
      <c r="B438" s="1" t="s">
        <v>205</v>
      </c>
      <c r="C438" t="s">
        <v>32</v>
      </c>
      <c r="D438" t="s">
        <v>39</v>
      </c>
      <c r="E438" t="s">
        <v>51</v>
      </c>
      <c r="F438" t="s">
        <v>13</v>
      </c>
      <c r="G438">
        <v>4</v>
      </c>
      <c r="H438">
        <v>2000</v>
      </c>
      <c r="I438">
        <v>8000</v>
      </c>
      <c r="J438" s="2">
        <f t="shared" si="6"/>
        <v>45518</v>
      </c>
      <c r="K438" t="str">
        <f>TEXT(Table1[[#This Row],[Order_Date]],"mmm")</f>
        <v>Aug</v>
      </c>
    </row>
    <row r="439" spans="1:11" x14ac:dyDescent="0.25">
      <c r="A439">
        <v>1438</v>
      </c>
      <c r="B439" s="1" t="s">
        <v>300</v>
      </c>
      <c r="C439" t="s">
        <v>57</v>
      </c>
      <c r="D439" t="s">
        <v>47</v>
      </c>
      <c r="E439" t="s">
        <v>21</v>
      </c>
      <c r="F439" t="s">
        <v>22</v>
      </c>
      <c r="G439">
        <v>2</v>
      </c>
      <c r="H439">
        <v>50000</v>
      </c>
      <c r="I439">
        <v>100000</v>
      </c>
      <c r="J439" s="2">
        <f t="shared" si="6"/>
        <v>45305</v>
      </c>
      <c r="K439" t="str">
        <f>TEXT(Table1[[#This Row],[Order_Date]],"mmm")</f>
        <v>Jan</v>
      </c>
    </row>
    <row r="440" spans="1:11" x14ac:dyDescent="0.25">
      <c r="A440">
        <v>1439</v>
      </c>
      <c r="B440" s="1" t="s">
        <v>245</v>
      </c>
      <c r="C440" t="s">
        <v>53</v>
      </c>
      <c r="D440" t="s">
        <v>25</v>
      </c>
      <c r="E440" t="s">
        <v>12</v>
      </c>
      <c r="F440" t="s">
        <v>13</v>
      </c>
      <c r="G440">
        <v>3</v>
      </c>
      <c r="H440">
        <v>800</v>
      </c>
      <c r="I440">
        <v>2400</v>
      </c>
      <c r="J440" s="2">
        <f t="shared" si="6"/>
        <v>45398</v>
      </c>
      <c r="K440" t="str">
        <f>TEXT(Table1[[#This Row],[Order_Date]],"mmm")</f>
        <v>Apr</v>
      </c>
    </row>
    <row r="441" spans="1:11" x14ac:dyDescent="0.25">
      <c r="A441">
        <v>1440</v>
      </c>
      <c r="B441" s="1" t="s">
        <v>97</v>
      </c>
      <c r="C441" t="s">
        <v>57</v>
      </c>
      <c r="D441" t="s">
        <v>20</v>
      </c>
      <c r="E441" t="s">
        <v>17</v>
      </c>
      <c r="F441" t="s">
        <v>13</v>
      </c>
      <c r="G441">
        <v>1</v>
      </c>
      <c r="H441">
        <v>3000</v>
      </c>
      <c r="I441">
        <v>3000</v>
      </c>
      <c r="J441" s="2">
        <f t="shared" si="6"/>
        <v>45311</v>
      </c>
      <c r="K441" t="str">
        <f>TEXT(Table1[[#This Row],[Order_Date]],"mmm")</f>
        <v>Jan</v>
      </c>
    </row>
    <row r="442" spans="1:11" x14ac:dyDescent="0.25">
      <c r="A442">
        <v>1441</v>
      </c>
      <c r="B442" s="1" t="s">
        <v>301</v>
      </c>
      <c r="C442" t="s">
        <v>10</v>
      </c>
      <c r="D442" t="s">
        <v>11</v>
      </c>
      <c r="E442" t="s">
        <v>17</v>
      </c>
      <c r="F442" t="s">
        <v>13</v>
      </c>
      <c r="G442">
        <v>2</v>
      </c>
      <c r="H442">
        <v>3000</v>
      </c>
      <c r="I442">
        <v>6000</v>
      </c>
      <c r="J442" s="2">
        <f t="shared" si="6"/>
        <v>45488</v>
      </c>
      <c r="K442" t="str">
        <f>TEXT(Table1[[#This Row],[Order_Date]],"mmm")</f>
        <v>Jul</v>
      </c>
    </row>
    <row r="443" spans="1:11" x14ac:dyDescent="0.25">
      <c r="A443">
        <v>1442</v>
      </c>
      <c r="B443" s="1" t="s">
        <v>302</v>
      </c>
      <c r="C443" t="s">
        <v>53</v>
      </c>
      <c r="D443" t="s">
        <v>39</v>
      </c>
      <c r="E443" t="s">
        <v>43</v>
      </c>
      <c r="F443" t="s">
        <v>44</v>
      </c>
      <c r="G443">
        <v>3</v>
      </c>
      <c r="H443">
        <v>1500</v>
      </c>
      <c r="I443">
        <v>4500</v>
      </c>
      <c r="J443" s="2">
        <f t="shared" si="6"/>
        <v>45446</v>
      </c>
      <c r="K443" t="str">
        <f>TEXT(Table1[[#This Row],[Order_Date]],"mmm")</f>
        <v>Jun</v>
      </c>
    </row>
    <row r="444" spans="1:11" x14ac:dyDescent="0.25">
      <c r="A444">
        <v>1443</v>
      </c>
      <c r="B444" s="1" t="s">
        <v>173</v>
      </c>
      <c r="C444" t="s">
        <v>50</v>
      </c>
      <c r="D444" t="s">
        <v>33</v>
      </c>
      <c r="E444" t="s">
        <v>21</v>
      </c>
      <c r="F444" t="s">
        <v>22</v>
      </c>
      <c r="G444">
        <v>3</v>
      </c>
      <c r="H444">
        <v>50000</v>
      </c>
      <c r="I444">
        <v>150000</v>
      </c>
      <c r="J444" s="2">
        <f t="shared" si="6"/>
        <v>45314</v>
      </c>
      <c r="K444" t="str">
        <f>TEXT(Table1[[#This Row],[Order_Date]],"mmm")</f>
        <v>Jan</v>
      </c>
    </row>
    <row r="445" spans="1:11" x14ac:dyDescent="0.25">
      <c r="A445">
        <v>1444</v>
      </c>
      <c r="B445" s="1" t="s">
        <v>303</v>
      </c>
      <c r="C445" t="s">
        <v>15</v>
      </c>
      <c r="D445" t="s">
        <v>25</v>
      </c>
      <c r="E445" t="s">
        <v>43</v>
      </c>
      <c r="F445" t="s">
        <v>44</v>
      </c>
      <c r="G445">
        <v>1</v>
      </c>
      <c r="H445">
        <v>1500</v>
      </c>
      <c r="I445">
        <v>1500</v>
      </c>
      <c r="J445" s="2">
        <f t="shared" si="6"/>
        <v>45478</v>
      </c>
      <c r="K445" t="str">
        <f>TEXT(Table1[[#This Row],[Order_Date]],"mmm")</f>
        <v>Jul</v>
      </c>
    </row>
    <row r="446" spans="1:11" x14ac:dyDescent="0.25">
      <c r="A446">
        <v>1445</v>
      </c>
      <c r="B446" s="1" t="s">
        <v>135</v>
      </c>
      <c r="C446" t="s">
        <v>38</v>
      </c>
      <c r="D446" t="s">
        <v>16</v>
      </c>
      <c r="E446" t="s">
        <v>43</v>
      </c>
      <c r="F446" t="s">
        <v>44</v>
      </c>
      <c r="G446">
        <v>1</v>
      </c>
      <c r="H446">
        <v>1500</v>
      </c>
      <c r="I446">
        <v>1500</v>
      </c>
      <c r="J446" s="2">
        <f t="shared" si="6"/>
        <v>45390</v>
      </c>
      <c r="K446" t="str">
        <f>TEXT(Table1[[#This Row],[Order_Date]],"mmm")</f>
        <v>Apr</v>
      </c>
    </row>
    <row r="447" spans="1:11" x14ac:dyDescent="0.25">
      <c r="A447">
        <v>1446</v>
      </c>
      <c r="B447" s="1" t="s">
        <v>304</v>
      </c>
      <c r="C447" t="s">
        <v>38</v>
      </c>
      <c r="D447" t="s">
        <v>20</v>
      </c>
      <c r="E447" t="s">
        <v>51</v>
      </c>
      <c r="F447" t="s">
        <v>13</v>
      </c>
      <c r="G447">
        <v>2</v>
      </c>
      <c r="H447">
        <v>2000</v>
      </c>
      <c r="I447">
        <v>4000</v>
      </c>
      <c r="J447" s="2">
        <f t="shared" si="6"/>
        <v>45577</v>
      </c>
      <c r="K447" t="str">
        <f>TEXT(Table1[[#This Row],[Order_Date]],"mmm")</f>
        <v>Oct</v>
      </c>
    </row>
    <row r="448" spans="1:11" x14ac:dyDescent="0.25">
      <c r="A448">
        <v>1447</v>
      </c>
      <c r="B448" s="1" t="s">
        <v>232</v>
      </c>
      <c r="C448" t="s">
        <v>24</v>
      </c>
      <c r="D448" t="s">
        <v>16</v>
      </c>
      <c r="E448" t="s">
        <v>43</v>
      </c>
      <c r="F448" t="s">
        <v>44</v>
      </c>
      <c r="G448">
        <v>3</v>
      </c>
      <c r="H448">
        <v>1500</v>
      </c>
      <c r="I448">
        <v>4500</v>
      </c>
      <c r="J448" s="2">
        <f t="shared" si="6"/>
        <v>45372</v>
      </c>
      <c r="K448" t="str">
        <f>TEXT(Table1[[#This Row],[Order_Date]],"mmm")</f>
        <v>Mar</v>
      </c>
    </row>
    <row r="449" spans="1:11" x14ac:dyDescent="0.25">
      <c r="A449">
        <v>1448</v>
      </c>
      <c r="B449" s="1" t="s">
        <v>305</v>
      </c>
      <c r="C449" t="s">
        <v>50</v>
      </c>
      <c r="D449" t="s">
        <v>25</v>
      </c>
      <c r="E449" t="s">
        <v>35</v>
      </c>
      <c r="F449" t="s">
        <v>22</v>
      </c>
      <c r="G449">
        <v>2</v>
      </c>
      <c r="H449">
        <v>20000</v>
      </c>
      <c r="I449">
        <v>40000</v>
      </c>
      <c r="J449" s="2">
        <f t="shared" si="6"/>
        <v>45296</v>
      </c>
      <c r="K449" t="str">
        <f>TEXT(Table1[[#This Row],[Order_Date]],"mmm")</f>
        <v>Jan</v>
      </c>
    </row>
    <row r="450" spans="1:11" x14ac:dyDescent="0.25">
      <c r="A450">
        <v>1449</v>
      </c>
      <c r="B450" s="1" t="s">
        <v>306</v>
      </c>
      <c r="C450" t="s">
        <v>53</v>
      </c>
      <c r="D450" t="s">
        <v>11</v>
      </c>
      <c r="E450" t="s">
        <v>43</v>
      </c>
      <c r="F450" t="s">
        <v>44</v>
      </c>
      <c r="G450">
        <v>3</v>
      </c>
      <c r="H450">
        <v>1500</v>
      </c>
      <c r="I450">
        <v>4500</v>
      </c>
      <c r="J450" s="2">
        <f t="shared" ref="J450:J513" si="7">DATE(RIGHT(B450,4), MID(B450,4,2), LEFT(B450,2))</f>
        <v>45584</v>
      </c>
      <c r="K450" t="str">
        <f>TEXT(Table1[[#This Row],[Order_Date]],"mmm")</f>
        <v>Oct</v>
      </c>
    </row>
    <row r="451" spans="1:11" x14ac:dyDescent="0.25">
      <c r="A451">
        <v>1450</v>
      </c>
      <c r="B451" s="1" t="s">
        <v>307</v>
      </c>
      <c r="C451" t="s">
        <v>32</v>
      </c>
      <c r="D451" t="s">
        <v>25</v>
      </c>
      <c r="E451" t="s">
        <v>43</v>
      </c>
      <c r="F451" t="s">
        <v>44</v>
      </c>
      <c r="G451">
        <v>2</v>
      </c>
      <c r="H451">
        <v>1500</v>
      </c>
      <c r="I451">
        <v>3000</v>
      </c>
      <c r="J451" s="2">
        <f t="shared" si="7"/>
        <v>45641</v>
      </c>
      <c r="K451" t="str">
        <f>TEXT(Table1[[#This Row],[Order_Date]],"mmm")</f>
        <v>Dec</v>
      </c>
    </row>
    <row r="452" spans="1:11" x14ac:dyDescent="0.25">
      <c r="A452">
        <v>1451</v>
      </c>
      <c r="B452" s="1" t="s">
        <v>88</v>
      </c>
      <c r="C452" t="s">
        <v>30</v>
      </c>
      <c r="D452" t="s">
        <v>11</v>
      </c>
      <c r="E452" t="s">
        <v>21</v>
      </c>
      <c r="F452" t="s">
        <v>22</v>
      </c>
      <c r="G452">
        <v>5</v>
      </c>
      <c r="H452">
        <v>50000</v>
      </c>
      <c r="I452">
        <v>250000</v>
      </c>
      <c r="J452" s="2">
        <f t="shared" si="7"/>
        <v>45647</v>
      </c>
      <c r="K452" t="str">
        <f>TEXT(Table1[[#This Row],[Order_Date]],"mmm")</f>
        <v>Dec</v>
      </c>
    </row>
    <row r="453" spans="1:11" x14ac:dyDescent="0.25">
      <c r="A453">
        <v>1452</v>
      </c>
      <c r="B453" s="1" t="s">
        <v>86</v>
      </c>
      <c r="C453" t="s">
        <v>57</v>
      </c>
      <c r="D453" t="s">
        <v>16</v>
      </c>
      <c r="E453" t="s">
        <v>12</v>
      </c>
      <c r="F453" t="s">
        <v>13</v>
      </c>
      <c r="G453">
        <v>2</v>
      </c>
      <c r="H453">
        <v>800</v>
      </c>
      <c r="I453">
        <v>1600</v>
      </c>
      <c r="J453" s="2">
        <f t="shared" si="7"/>
        <v>45579</v>
      </c>
      <c r="K453" t="str">
        <f>TEXT(Table1[[#This Row],[Order_Date]],"mmm")</f>
        <v>Oct</v>
      </c>
    </row>
    <row r="454" spans="1:11" x14ac:dyDescent="0.25">
      <c r="A454">
        <v>1453</v>
      </c>
      <c r="B454" s="1" t="s">
        <v>244</v>
      </c>
      <c r="C454" t="s">
        <v>38</v>
      </c>
      <c r="D454" t="s">
        <v>25</v>
      </c>
      <c r="E454" t="s">
        <v>17</v>
      </c>
      <c r="F454" t="s">
        <v>13</v>
      </c>
      <c r="G454">
        <v>2</v>
      </c>
      <c r="H454">
        <v>3000</v>
      </c>
      <c r="I454">
        <v>6000</v>
      </c>
      <c r="J454" s="2">
        <f t="shared" si="7"/>
        <v>45346</v>
      </c>
      <c r="K454" t="str">
        <f>TEXT(Table1[[#This Row],[Order_Date]],"mmm")</f>
        <v>Feb</v>
      </c>
    </row>
    <row r="455" spans="1:11" x14ac:dyDescent="0.25">
      <c r="A455">
        <v>1454</v>
      </c>
      <c r="B455" s="1" t="s">
        <v>78</v>
      </c>
      <c r="C455" t="s">
        <v>10</v>
      </c>
      <c r="D455" t="s">
        <v>47</v>
      </c>
      <c r="E455" t="s">
        <v>48</v>
      </c>
      <c r="F455" t="s">
        <v>44</v>
      </c>
      <c r="G455">
        <v>2</v>
      </c>
      <c r="H455">
        <v>5000</v>
      </c>
      <c r="I455">
        <v>10000</v>
      </c>
      <c r="J455" s="2">
        <f t="shared" si="7"/>
        <v>45338</v>
      </c>
      <c r="K455" t="str">
        <f>TEXT(Table1[[#This Row],[Order_Date]],"mmm")</f>
        <v>Feb</v>
      </c>
    </row>
    <row r="456" spans="1:11" x14ac:dyDescent="0.25">
      <c r="A456">
        <v>1455</v>
      </c>
      <c r="B456" s="1" t="s">
        <v>308</v>
      </c>
      <c r="C456" t="s">
        <v>57</v>
      </c>
      <c r="D456" t="s">
        <v>20</v>
      </c>
      <c r="E456" t="s">
        <v>12</v>
      </c>
      <c r="F456" t="s">
        <v>13</v>
      </c>
      <c r="G456">
        <v>2</v>
      </c>
      <c r="H456">
        <v>800</v>
      </c>
      <c r="I456">
        <v>1600</v>
      </c>
      <c r="J456" s="2">
        <f t="shared" si="7"/>
        <v>45542</v>
      </c>
      <c r="K456" t="str">
        <f>TEXT(Table1[[#This Row],[Order_Date]],"mmm")</f>
        <v>Sep</v>
      </c>
    </row>
    <row r="457" spans="1:11" x14ac:dyDescent="0.25">
      <c r="A457">
        <v>1456</v>
      </c>
      <c r="B457" s="1" t="s">
        <v>181</v>
      </c>
      <c r="C457" t="s">
        <v>50</v>
      </c>
      <c r="D457" t="s">
        <v>25</v>
      </c>
      <c r="E457" t="s">
        <v>26</v>
      </c>
      <c r="F457" t="s">
        <v>22</v>
      </c>
      <c r="G457">
        <v>1</v>
      </c>
      <c r="H457">
        <v>2500</v>
      </c>
      <c r="I457">
        <v>2500</v>
      </c>
      <c r="J457" s="2">
        <f t="shared" si="7"/>
        <v>45455</v>
      </c>
      <c r="K457" t="str">
        <f>TEXT(Table1[[#This Row],[Order_Date]],"mmm")</f>
        <v>Jun</v>
      </c>
    </row>
    <row r="458" spans="1:11" x14ac:dyDescent="0.25">
      <c r="A458">
        <v>1457</v>
      </c>
      <c r="B458" s="1" t="s">
        <v>260</v>
      </c>
      <c r="C458" t="s">
        <v>57</v>
      </c>
      <c r="D458" t="s">
        <v>25</v>
      </c>
      <c r="E458" t="s">
        <v>26</v>
      </c>
      <c r="F458" t="s">
        <v>22</v>
      </c>
      <c r="G458">
        <v>2</v>
      </c>
      <c r="H458">
        <v>2500</v>
      </c>
      <c r="I458">
        <v>5000</v>
      </c>
      <c r="J458" s="2">
        <f t="shared" si="7"/>
        <v>45490</v>
      </c>
      <c r="K458" t="str">
        <f>TEXT(Table1[[#This Row],[Order_Date]],"mmm")</f>
        <v>Jul</v>
      </c>
    </row>
    <row r="459" spans="1:11" x14ac:dyDescent="0.25">
      <c r="A459">
        <v>1458</v>
      </c>
      <c r="B459" s="1" t="s">
        <v>233</v>
      </c>
      <c r="C459" t="s">
        <v>15</v>
      </c>
      <c r="D459" t="s">
        <v>39</v>
      </c>
      <c r="E459" t="s">
        <v>12</v>
      </c>
      <c r="F459" t="s">
        <v>13</v>
      </c>
      <c r="G459">
        <v>1</v>
      </c>
      <c r="H459">
        <v>800</v>
      </c>
      <c r="I459">
        <v>800</v>
      </c>
      <c r="J459" s="2">
        <f t="shared" si="7"/>
        <v>45501</v>
      </c>
      <c r="K459" t="str">
        <f>TEXT(Table1[[#This Row],[Order_Date]],"mmm")</f>
        <v>Jul</v>
      </c>
    </row>
    <row r="460" spans="1:11" x14ac:dyDescent="0.25">
      <c r="A460">
        <v>1459</v>
      </c>
      <c r="B460" s="1" t="s">
        <v>202</v>
      </c>
      <c r="C460" t="s">
        <v>57</v>
      </c>
      <c r="D460" t="s">
        <v>39</v>
      </c>
      <c r="E460" t="s">
        <v>43</v>
      </c>
      <c r="F460" t="s">
        <v>44</v>
      </c>
      <c r="G460">
        <v>1</v>
      </c>
      <c r="H460">
        <v>1500</v>
      </c>
      <c r="I460">
        <v>1500</v>
      </c>
      <c r="J460" s="2">
        <f t="shared" si="7"/>
        <v>45653</v>
      </c>
      <c r="K460" t="str">
        <f>TEXT(Table1[[#This Row],[Order_Date]],"mmm")</f>
        <v>Dec</v>
      </c>
    </row>
    <row r="461" spans="1:11" x14ac:dyDescent="0.25">
      <c r="A461">
        <v>1460</v>
      </c>
      <c r="B461" s="1" t="s">
        <v>261</v>
      </c>
      <c r="C461" t="s">
        <v>24</v>
      </c>
      <c r="D461" t="s">
        <v>11</v>
      </c>
      <c r="E461" t="s">
        <v>26</v>
      </c>
      <c r="F461" t="s">
        <v>22</v>
      </c>
      <c r="G461">
        <v>4</v>
      </c>
      <c r="H461">
        <v>2500</v>
      </c>
      <c r="I461">
        <v>10000</v>
      </c>
      <c r="J461" s="2">
        <f t="shared" si="7"/>
        <v>45384</v>
      </c>
      <c r="K461" t="str">
        <f>TEXT(Table1[[#This Row],[Order_Date]],"mmm")</f>
        <v>Apr</v>
      </c>
    </row>
    <row r="462" spans="1:11" x14ac:dyDescent="0.25">
      <c r="A462">
        <v>1461</v>
      </c>
      <c r="B462" s="1" t="s">
        <v>41</v>
      </c>
      <c r="C462" t="s">
        <v>50</v>
      </c>
      <c r="D462" t="s">
        <v>39</v>
      </c>
      <c r="E462" t="s">
        <v>12</v>
      </c>
      <c r="F462" t="s">
        <v>13</v>
      </c>
      <c r="G462">
        <v>2</v>
      </c>
      <c r="H462">
        <v>800</v>
      </c>
      <c r="I462">
        <v>1600</v>
      </c>
      <c r="J462" s="2">
        <f t="shared" si="7"/>
        <v>45425</v>
      </c>
      <c r="K462" t="str">
        <f>TEXT(Table1[[#This Row],[Order_Date]],"mmm")</f>
        <v>May</v>
      </c>
    </row>
    <row r="463" spans="1:11" x14ac:dyDescent="0.25">
      <c r="A463">
        <v>1462</v>
      </c>
      <c r="B463" s="1" t="s">
        <v>95</v>
      </c>
      <c r="C463" t="s">
        <v>24</v>
      </c>
      <c r="D463" t="s">
        <v>33</v>
      </c>
      <c r="E463" t="s">
        <v>21</v>
      </c>
      <c r="F463" t="s">
        <v>22</v>
      </c>
      <c r="G463">
        <v>2</v>
      </c>
      <c r="H463">
        <v>50000</v>
      </c>
      <c r="I463">
        <v>100000</v>
      </c>
      <c r="J463" s="2">
        <f t="shared" si="7"/>
        <v>45545</v>
      </c>
      <c r="K463" t="str">
        <f>TEXT(Table1[[#This Row],[Order_Date]],"mmm")</f>
        <v>Sep</v>
      </c>
    </row>
    <row r="464" spans="1:11" x14ac:dyDescent="0.25">
      <c r="A464">
        <v>1463</v>
      </c>
      <c r="B464" s="1" t="s">
        <v>200</v>
      </c>
      <c r="C464" t="s">
        <v>50</v>
      </c>
      <c r="D464" t="s">
        <v>11</v>
      </c>
      <c r="E464" t="s">
        <v>21</v>
      </c>
      <c r="F464" t="s">
        <v>22</v>
      </c>
      <c r="G464">
        <v>2</v>
      </c>
      <c r="H464">
        <v>50000</v>
      </c>
      <c r="I464">
        <v>100000</v>
      </c>
      <c r="J464" s="2">
        <f t="shared" si="7"/>
        <v>45515</v>
      </c>
      <c r="K464" t="str">
        <f>TEXT(Table1[[#This Row],[Order_Date]],"mmm")</f>
        <v>Aug</v>
      </c>
    </row>
    <row r="465" spans="1:11" x14ac:dyDescent="0.25">
      <c r="A465">
        <v>1464</v>
      </c>
      <c r="B465" s="1" t="s">
        <v>309</v>
      </c>
      <c r="C465" t="s">
        <v>19</v>
      </c>
      <c r="D465" t="s">
        <v>39</v>
      </c>
      <c r="E465" t="s">
        <v>51</v>
      </c>
      <c r="F465" t="s">
        <v>13</v>
      </c>
      <c r="G465">
        <v>2</v>
      </c>
      <c r="H465">
        <v>2000</v>
      </c>
      <c r="I465">
        <v>4000</v>
      </c>
      <c r="J465" s="2">
        <f t="shared" si="7"/>
        <v>45380</v>
      </c>
      <c r="K465" t="str">
        <f>TEXT(Table1[[#This Row],[Order_Date]],"mmm")</f>
        <v>Mar</v>
      </c>
    </row>
    <row r="466" spans="1:11" x14ac:dyDescent="0.25">
      <c r="A466">
        <v>1465</v>
      </c>
      <c r="B466" s="1" t="s">
        <v>98</v>
      </c>
      <c r="C466" t="s">
        <v>38</v>
      </c>
      <c r="D466" t="s">
        <v>47</v>
      </c>
      <c r="E466" t="s">
        <v>26</v>
      </c>
      <c r="F466" t="s">
        <v>22</v>
      </c>
      <c r="G466">
        <v>5</v>
      </c>
      <c r="H466">
        <v>2500</v>
      </c>
      <c r="I466">
        <v>12500</v>
      </c>
      <c r="J466" s="2">
        <f t="shared" si="7"/>
        <v>45451</v>
      </c>
      <c r="K466" t="str">
        <f>TEXT(Table1[[#This Row],[Order_Date]],"mmm")</f>
        <v>Jun</v>
      </c>
    </row>
    <row r="467" spans="1:11" x14ac:dyDescent="0.25">
      <c r="A467">
        <v>1466</v>
      </c>
      <c r="B467" s="1" t="s">
        <v>98</v>
      </c>
      <c r="C467" t="s">
        <v>32</v>
      </c>
      <c r="D467" t="s">
        <v>25</v>
      </c>
      <c r="E467" t="s">
        <v>35</v>
      </c>
      <c r="F467" t="s">
        <v>22</v>
      </c>
      <c r="G467">
        <v>2</v>
      </c>
      <c r="H467">
        <v>20000</v>
      </c>
      <c r="I467">
        <v>40000</v>
      </c>
      <c r="J467" s="2">
        <f t="shared" si="7"/>
        <v>45451</v>
      </c>
      <c r="K467" t="str">
        <f>TEXT(Table1[[#This Row],[Order_Date]],"mmm")</f>
        <v>Jun</v>
      </c>
    </row>
    <row r="468" spans="1:11" x14ac:dyDescent="0.25">
      <c r="A468">
        <v>1467</v>
      </c>
      <c r="B468" s="1" t="s">
        <v>88</v>
      </c>
      <c r="C468" t="s">
        <v>38</v>
      </c>
      <c r="D468" t="s">
        <v>20</v>
      </c>
      <c r="E468" t="s">
        <v>43</v>
      </c>
      <c r="F468" t="s">
        <v>44</v>
      </c>
      <c r="G468">
        <v>4</v>
      </c>
      <c r="H468">
        <v>1500</v>
      </c>
      <c r="I468">
        <v>6000</v>
      </c>
      <c r="J468" s="2">
        <f t="shared" si="7"/>
        <v>45647</v>
      </c>
      <c r="K468" t="str">
        <f>TEXT(Table1[[#This Row],[Order_Date]],"mmm")</f>
        <v>Dec</v>
      </c>
    </row>
    <row r="469" spans="1:11" x14ac:dyDescent="0.25">
      <c r="A469">
        <v>1468</v>
      </c>
      <c r="B469" s="1" t="s">
        <v>310</v>
      </c>
      <c r="C469" t="s">
        <v>10</v>
      </c>
      <c r="D469" t="s">
        <v>47</v>
      </c>
      <c r="E469" t="s">
        <v>35</v>
      </c>
      <c r="F469" t="s">
        <v>22</v>
      </c>
      <c r="G469">
        <v>2</v>
      </c>
      <c r="H469">
        <v>20000</v>
      </c>
      <c r="I469">
        <v>40000</v>
      </c>
      <c r="J469" s="2">
        <f t="shared" si="7"/>
        <v>45292</v>
      </c>
      <c r="K469" t="str">
        <f>TEXT(Table1[[#This Row],[Order_Date]],"mmm")</f>
        <v>Jan</v>
      </c>
    </row>
    <row r="470" spans="1:11" x14ac:dyDescent="0.25">
      <c r="A470">
        <v>1469</v>
      </c>
      <c r="B470" s="1" t="s">
        <v>254</v>
      </c>
      <c r="C470" t="s">
        <v>28</v>
      </c>
      <c r="D470" t="s">
        <v>33</v>
      </c>
      <c r="E470" t="s">
        <v>21</v>
      </c>
      <c r="F470" t="s">
        <v>22</v>
      </c>
      <c r="G470">
        <v>3</v>
      </c>
      <c r="H470">
        <v>50000</v>
      </c>
      <c r="I470">
        <v>150000</v>
      </c>
      <c r="J470" s="2">
        <f t="shared" si="7"/>
        <v>45592</v>
      </c>
      <c r="K470" t="str">
        <f>TEXT(Table1[[#This Row],[Order_Date]],"mmm")</f>
        <v>Oct</v>
      </c>
    </row>
    <row r="471" spans="1:11" x14ac:dyDescent="0.25">
      <c r="A471">
        <v>1470</v>
      </c>
      <c r="B471" s="1" t="s">
        <v>128</v>
      </c>
      <c r="C471" t="s">
        <v>50</v>
      </c>
      <c r="D471" t="s">
        <v>33</v>
      </c>
      <c r="E471" t="s">
        <v>12</v>
      </c>
      <c r="F471" t="s">
        <v>13</v>
      </c>
      <c r="G471">
        <v>4</v>
      </c>
      <c r="H471">
        <v>800</v>
      </c>
      <c r="I471">
        <v>3200</v>
      </c>
      <c r="J471" s="2">
        <f t="shared" si="7"/>
        <v>45329</v>
      </c>
      <c r="K471" t="str">
        <f>TEXT(Table1[[#This Row],[Order_Date]],"mmm")</f>
        <v>Feb</v>
      </c>
    </row>
    <row r="472" spans="1:11" x14ac:dyDescent="0.25">
      <c r="A472">
        <v>1471</v>
      </c>
      <c r="B472" s="1" t="s">
        <v>196</v>
      </c>
      <c r="C472" t="s">
        <v>53</v>
      </c>
      <c r="D472" t="s">
        <v>20</v>
      </c>
      <c r="E472" t="s">
        <v>48</v>
      </c>
      <c r="F472" t="s">
        <v>44</v>
      </c>
      <c r="G472">
        <v>1</v>
      </c>
      <c r="H472">
        <v>5000</v>
      </c>
      <c r="I472">
        <v>5000</v>
      </c>
      <c r="J472" s="2">
        <f t="shared" si="7"/>
        <v>45616</v>
      </c>
      <c r="K472" t="str">
        <f>TEXT(Table1[[#This Row],[Order_Date]],"mmm")</f>
        <v>Nov</v>
      </c>
    </row>
    <row r="473" spans="1:11" x14ac:dyDescent="0.25">
      <c r="A473">
        <v>1472</v>
      </c>
      <c r="B473" s="1" t="s">
        <v>311</v>
      </c>
      <c r="C473" t="s">
        <v>38</v>
      </c>
      <c r="D473" t="s">
        <v>47</v>
      </c>
      <c r="E473" t="s">
        <v>12</v>
      </c>
      <c r="F473" t="s">
        <v>13</v>
      </c>
      <c r="G473">
        <v>1</v>
      </c>
      <c r="H473">
        <v>800</v>
      </c>
      <c r="I473">
        <v>800</v>
      </c>
      <c r="J473" s="2">
        <f t="shared" si="7"/>
        <v>45482</v>
      </c>
      <c r="K473" t="str">
        <f>TEXT(Table1[[#This Row],[Order_Date]],"mmm")</f>
        <v>Jul</v>
      </c>
    </row>
    <row r="474" spans="1:11" x14ac:dyDescent="0.25">
      <c r="A474">
        <v>1473</v>
      </c>
      <c r="B474" s="1" t="s">
        <v>151</v>
      </c>
      <c r="C474" t="s">
        <v>10</v>
      </c>
      <c r="D474" t="s">
        <v>47</v>
      </c>
      <c r="E474" t="s">
        <v>26</v>
      </c>
      <c r="F474" t="s">
        <v>22</v>
      </c>
      <c r="G474">
        <v>1</v>
      </c>
      <c r="H474">
        <v>2500</v>
      </c>
      <c r="I474">
        <v>2500</v>
      </c>
      <c r="J474" s="2">
        <f t="shared" si="7"/>
        <v>45477</v>
      </c>
      <c r="K474" t="str">
        <f>TEXT(Table1[[#This Row],[Order_Date]],"mmm")</f>
        <v>Jul</v>
      </c>
    </row>
    <row r="475" spans="1:11" x14ac:dyDescent="0.25">
      <c r="A475">
        <v>1474</v>
      </c>
      <c r="B475" s="1" t="s">
        <v>312</v>
      </c>
      <c r="C475" t="s">
        <v>15</v>
      </c>
      <c r="D475" t="s">
        <v>11</v>
      </c>
      <c r="E475" t="s">
        <v>51</v>
      </c>
      <c r="F475" t="s">
        <v>13</v>
      </c>
      <c r="G475">
        <v>4</v>
      </c>
      <c r="H475">
        <v>2000</v>
      </c>
      <c r="I475">
        <v>8000</v>
      </c>
      <c r="J475" s="2">
        <f t="shared" si="7"/>
        <v>45617</v>
      </c>
      <c r="K475" t="str">
        <f>TEXT(Table1[[#This Row],[Order_Date]],"mmm")</f>
        <v>Nov</v>
      </c>
    </row>
    <row r="476" spans="1:11" x14ac:dyDescent="0.25">
      <c r="A476">
        <v>1475</v>
      </c>
      <c r="B476" s="1" t="s">
        <v>313</v>
      </c>
      <c r="C476" t="s">
        <v>19</v>
      </c>
      <c r="D476" t="s">
        <v>16</v>
      </c>
      <c r="E476" t="s">
        <v>35</v>
      </c>
      <c r="F476" t="s">
        <v>22</v>
      </c>
      <c r="G476">
        <v>4</v>
      </c>
      <c r="H476">
        <v>20000</v>
      </c>
      <c r="I476">
        <v>80000</v>
      </c>
      <c r="J476" s="2">
        <f t="shared" si="7"/>
        <v>45306</v>
      </c>
      <c r="K476" t="str">
        <f>TEXT(Table1[[#This Row],[Order_Date]],"mmm")</f>
        <v>Jan</v>
      </c>
    </row>
    <row r="477" spans="1:11" x14ac:dyDescent="0.25">
      <c r="A477">
        <v>1476</v>
      </c>
      <c r="B477" s="1" t="s">
        <v>314</v>
      </c>
      <c r="C477" t="s">
        <v>24</v>
      </c>
      <c r="D477" t="s">
        <v>39</v>
      </c>
      <c r="E477" t="s">
        <v>17</v>
      </c>
      <c r="F477" t="s">
        <v>13</v>
      </c>
      <c r="G477">
        <v>2</v>
      </c>
      <c r="H477">
        <v>3000</v>
      </c>
      <c r="I477">
        <v>6000</v>
      </c>
      <c r="J477" s="2">
        <f t="shared" si="7"/>
        <v>45523</v>
      </c>
      <c r="K477" t="str">
        <f>TEXT(Table1[[#This Row],[Order_Date]],"mmm")</f>
        <v>Aug</v>
      </c>
    </row>
    <row r="478" spans="1:11" x14ac:dyDescent="0.25">
      <c r="A478">
        <v>1477</v>
      </c>
      <c r="B478" s="1" t="s">
        <v>85</v>
      </c>
      <c r="C478" t="s">
        <v>53</v>
      </c>
      <c r="D478" t="s">
        <v>11</v>
      </c>
      <c r="E478" t="s">
        <v>26</v>
      </c>
      <c r="F478" t="s">
        <v>22</v>
      </c>
      <c r="G478">
        <v>1</v>
      </c>
      <c r="H478">
        <v>2500</v>
      </c>
      <c r="I478">
        <v>2500</v>
      </c>
      <c r="J478" s="2">
        <f t="shared" si="7"/>
        <v>45600</v>
      </c>
      <c r="K478" t="str">
        <f>TEXT(Table1[[#This Row],[Order_Date]],"mmm")</f>
        <v>Nov</v>
      </c>
    </row>
    <row r="479" spans="1:11" x14ac:dyDescent="0.25">
      <c r="A479">
        <v>1478</v>
      </c>
      <c r="B479" s="1" t="s">
        <v>237</v>
      </c>
      <c r="C479" t="s">
        <v>15</v>
      </c>
      <c r="D479" t="s">
        <v>25</v>
      </c>
      <c r="E479" t="s">
        <v>21</v>
      </c>
      <c r="F479" t="s">
        <v>22</v>
      </c>
      <c r="G479">
        <v>4</v>
      </c>
      <c r="H479">
        <v>50000</v>
      </c>
      <c r="I479">
        <v>200000</v>
      </c>
      <c r="J479" s="2">
        <f t="shared" si="7"/>
        <v>45450</v>
      </c>
      <c r="K479" t="str">
        <f>TEXT(Table1[[#This Row],[Order_Date]],"mmm")</f>
        <v>Jun</v>
      </c>
    </row>
    <row r="480" spans="1:11" x14ac:dyDescent="0.25">
      <c r="A480">
        <v>1479</v>
      </c>
      <c r="B480" s="1" t="s">
        <v>315</v>
      </c>
      <c r="C480" t="s">
        <v>42</v>
      </c>
      <c r="D480" t="s">
        <v>20</v>
      </c>
      <c r="E480" t="s">
        <v>21</v>
      </c>
      <c r="F480" t="s">
        <v>22</v>
      </c>
      <c r="G480">
        <v>2</v>
      </c>
      <c r="H480">
        <v>50000</v>
      </c>
      <c r="I480">
        <v>100000</v>
      </c>
      <c r="J480" s="2">
        <f t="shared" si="7"/>
        <v>45319</v>
      </c>
      <c r="K480" t="str">
        <f>TEXT(Table1[[#This Row],[Order_Date]],"mmm")</f>
        <v>Jan</v>
      </c>
    </row>
    <row r="481" spans="1:11" x14ac:dyDescent="0.25">
      <c r="A481">
        <v>1480</v>
      </c>
      <c r="B481" s="1" t="s">
        <v>69</v>
      </c>
      <c r="C481" t="s">
        <v>38</v>
      </c>
      <c r="D481" t="s">
        <v>11</v>
      </c>
      <c r="E481" t="s">
        <v>17</v>
      </c>
      <c r="F481" t="s">
        <v>13</v>
      </c>
      <c r="G481">
        <v>4</v>
      </c>
      <c r="H481">
        <v>3000</v>
      </c>
      <c r="I481">
        <v>12000</v>
      </c>
      <c r="J481" s="2">
        <f t="shared" si="7"/>
        <v>45467</v>
      </c>
      <c r="K481" t="str">
        <f>TEXT(Table1[[#This Row],[Order_Date]],"mmm")</f>
        <v>Jun</v>
      </c>
    </row>
    <row r="482" spans="1:11" x14ac:dyDescent="0.25">
      <c r="A482">
        <v>1481</v>
      </c>
      <c r="B482" s="1" t="s">
        <v>229</v>
      </c>
      <c r="C482" t="s">
        <v>15</v>
      </c>
      <c r="D482" t="s">
        <v>11</v>
      </c>
      <c r="E482" t="s">
        <v>51</v>
      </c>
      <c r="F482" t="s">
        <v>13</v>
      </c>
      <c r="G482">
        <v>3</v>
      </c>
      <c r="H482">
        <v>2000</v>
      </c>
      <c r="I482">
        <v>6000</v>
      </c>
      <c r="J482" s="2">
        <f t="shared" si="7"/>
        <v>45638</v>
      </c>
      <c r="K482" t="str">
        <f>TEXT(Table1[[#This Row],[Order_Date]],"mmm")</f>
        <v>Dec</v>
      </c>
    </row>
    <row r="483" spans="1:11" x14ac:dyDescent="0.25">
      <c r="A483">
        <v>1482</v>
      </c>
      <c r="B483" s="1" t="s">
        <v>262</v>
      </c>
      <c r="C483" t="s">
        <v>19</v>
      </c>
      <c r="D483" t="s">
        <v>25</v>
      </c>
      <c r="E483" t="s">
        <v>12</v>
      </c>
      <c r="F483" t="s">
        <v>13</v>
      </c>
      <c r="G483">
        <v>1</v>
      </c>
      <c r="H483">
        <v>800</v>
      </c>
      <c r="I483">
        <v>800</v>
      </c>
      <c r="J483" s="2">
        <f t="shared" si="7"/>
        <v>45365</v>
      </c>
      <c r="K483" t="str">
        <f>TEXT(Table1[[#This Row],[Order_Date]],"mmm")</f>
        <v>Mar</v>
      </c>
    </row>
    <row r="484" spans="1:11" x14ac:dyDescent="0.25">
      <c r="A484">
        <v>1483</v>
      </c>
      <c r="B484" s="1" t="s">
        <v>262</v>
      </c>
      <c r="C484" t="s">
        <v>42</v>
      </c>
      <c r="D484" t="s">
        <v>16</v>
      </c>
      <c r="E484" t="s">
        <v>35</v>
      </c>
      <c r="F484" t="s">
        <v>22</v>
      </c>
      <c r="G484">
        <v>4</v>
      </c>
      <c r="H484">
        <v>20000</v>
      </c>
      <c r="I484">
        <v>80000</v>
      </c>
      <c r="J484" s="2">
        <f t="shared" si="7"/>
        <v>45365</v>
      </c>
      <c r="K484" t="str">
        <f>TEXT(Table1[[#This Row],[Order_Date]],"mmm")</f>
        <v>Mar</v>
      </c>
    </row>
    <row r="485" spans="1:11" x14ac:dyDescent="0.25">
      <c r="A485">
        <v>1484</v>
      </c>
      <c r="B485" s="1" t="s">
        <v>316</v>
      </c>
      <c r="C485" t="s">
        <v>15</v>
      </c>
      <c r="D485" t="s">
        <v>39</v>
      </c>
      <c r="E485" t="s">
        <v>35</v>
      </c>
      <c r="F485" t="s">
        <v>22</v>
      </c>
      <c r="G485">
        <v>2</v>
      </c>
      <c r="H485">
        <v>20000</v>
      </c>
      <c r="I485">
        <v>40000</v>
      </c>
      <c r="J485" s="2">
        <f t="shared" si="7"/>
        <v>45444</v>
      </c>
      <c r="K485" t="str">
        <f>TEXT(Table1[[#This Row],[Order_Date]],"mmm")</f>
        <v>Jun</v>
      </c>
    </row>
    <row r="486" spans="1:11" x14ac:dyDescent="0.25">
      <c r="A486">
        <v>1485</v>
      </c>
      <c r="B486" s="1" t="s">
        <v>123</v>
      </c>
      <c r="C486" t="s">
        <v>57</v>
      </c>
      <c r="D486" t="s">
        <v>39</v>
      </c>
      <c r="E486" t="s">
        <v>26</v>
      </c>
      <c r="F486" t="s">
        <v>22</v>
      </c>
      <c r="G486">
        <v>5</v>
      </c>
      <c r="H486">
        <v>2500</v>
      </c>
      <c r="I486">
        <v>12500</v>
      </c>
      <c r="J486" s="2">
        <f t="shared" si="7"/>
        <v>45534</v>
      </c>
      <c r="K486" t="str">
        <f>TEXT(Table1[[#This Row],[Order_Date]],"mmm")</f>
        <v>Aug</v>
      </c>
    </row>
    <row r="487" spans="1:11" x14ac:dyDescent="0.25">
      <c r="A487">
        <v>1486</v>
      </c>
      <c r="B487" s="1" t="s">
        <v>291</v>
      </c>
      <c r="C487" t="s">
        <v>50</v>
      </c>
      <c r="D487" t="s">
        <v>25</v>
      </c>
      <c r="E487" t="s">
        <v>51</v>
      </c>
      <c r="F487" t="s">
        <v>13</v>
      </c>
      <c r="G487">
        <v>1</v>
      </c>
      <c r="H487">
        <v>2000</v>
      </c>
      <c r="I487">
        <v>2000</v>
      </c>
      <c r="J487" s="2">
        <f t="shared" si="7"/>
        <v>45463</v>
      </c>
      <c r="K487" t="str">
        <f>TEXT(Table1[[#This Row],[Order_Date]],"mmm")</f>
        <v>Jun</v>
      </c>
    </row>
    <row r="488" spans="1:11" x14ac:dyDescent="0.25">
      <c r="A488">
        <v>1487</v>
      </c>
      <c r="B488" s="1" t="s">
        <v>317</v>
      </c>
      <c r="C488" t="s">
        <v>10</v>
      </c>
      <c r="D488" t="s">
        <v>39</v>
      </c>
      <c r="E488" t="s">
        <v>51</v>
      </c>
      <c r="F488" t="s">
        <v>13</v>
      </c>
      <c r="G488">
        <v>4</v>
      </c>
      <c r="H488">
        <v>2000</v>
      </c>
      <c r="I488">
        <v>8000</v>
      </c>
      <c r="J488" s="2">
        <f t="shared" si="7"/>
        <v>45417</v>
      </c>
      <c r="K488" t="str">
        <f>TEXT(Table1[[#This Row],[Order_Date]],"mmm")</f>
        <v>May</v>
      </c>
    </row>
    <row r="489" spans="1:11" x14ac:dyDescent="0.25">
      <c r="A489">
        <v>1488</v>
      </c>
      <c r="B489" s="1" t="s">
        <v>135</v>
      </c>
      <c r="C489" t="s">
        <v>42</v>
      </c>
      <c r="D489" t="s">
        <v>47</v>
      </c>
      <c r="E489" t="s">
        <v>43</v>
      </c>
      <c r="F489" t="s">
        <v>44</v>
      </c>
      <c r="G489">
        <v>2</v>
      </c>
      <c r="H489">
        <v>1500</v>
      </c>
      <c r="I489">
        <v>3000</v>
      </c>
      <c r="J489" s="2">
        <f t="shared" si="7"/>
        <v>45390</v>
      </c>
      <c r="K489" t="str">
        <f>TEXT(Table1[[#This Row],[Order_Date]],"mmm")</f>
        <v>Apr</v>
      </c>
    </row>
    <row r="490" spans="1:11" x14ac:dyDescent="0.25">
      <c r="A490">
        <v>1489</v>
      </c>
      <c r="B490" s="1" t="s">
        <v>282</v>
      </c>
      <c r="C490" t="s">
        <v>38</v>
      </c>
      <c r="D490" t="s">
        <v>11</v>
      </c>
      <c r="E490" t="s">
        <v>35</v>
      </c>
      <c r="F490" t="s">
        <v>22</v>
      </c>
      <c r="G490">
        <v>2</v>
      </c>
      <c r="H490">
        <v>20000</v>
      </c>
      <c r="I490">
        <v>40000</v>
      </c>
      <c r="J490" s="2">
        <f t="shared" si="7"/>
        <v>45573</v>
      </c>
      <c r="K490" t="str">
        <f>TEXT(Table1[[#This Row],[Order_Date]],"mmm")</f>
        <v>Oct</v>
      </c>
    </row>
    <row r="491" spans="1:11" x14ac:dyDescent="0.25">
      <c r="A491">
        <v>1490</v>
      </c>
      <c r="B491" s="1" t="s">
        <v>318</v>
      </c>
      <c r="C491" t="s">
        <v>50</v>
      </c>
      <c r="D491" t="s">
        <v>11</v>
      </c>
      <c r="E491" t="s">
        <v>21</v>
      </c>
      <c r="F491" t="s">
        <v>22</v>
      </c>
      <c r="G491">
        <v>2</v>
      </c>
      <c r="H491">
        <v>50000</v>
      </c>
      <c r="I491">
        <v>100000</v>
      </c>
      <c r="J491" s="2">
        <f t="shared" si="7"/>
        <v>45414</v>
      </c>
      <c r="K491" t="str">
        <f>TEXT(Table1[[#This Row],[Order_Date]],"mmm")</f>
        <v>May</v>
      </c>
    </row>
    <row r="492" spans="1:11" x14ac:dyDescent="0.25">
      <c r="A492">
        <v>1491</v>
      </c>
      <c r="B492" s="1" t="s">
        <v>231</v>
      </c>
      <c r="C492" t="s">
        <v>42</v>
      </c>
      <c r="D492" t="s">
        <v>11</v>
      </c>
      <c r="E492" t="s">
        <v>26</v>
      </c>
      <c r="F492" t="s">
        <v>22</v>
      </c>
      <c r="G492">
        <v>5</v>
      </c>
      <c r="H492">
        <v>2500</v>
      </c>
      <c r="I492">
        <v>12500</v>
      </c>
      <c r="J492" s="2">
        <f t="shared" si="7"/>
        <v>45457</v>
      </c>
      <c r="K492" t="str">
        <f>TEXT(Table1[[#This Row],[Order_Date]],"mmm")</f>
        <v>Jun</v>
      </c>
    </row>
    <row r="493" spans="1:11" x14ac:dyDescent="0.25">
      <c r="A493">
        <v>1492</v>
      </c>
      <c r="B493" s="1" t="s">
        <v>278</v>
      </c>
      <c r="C493" t="s">
        <v>53</v>
      </c>
      <c r="D493" t="s">
        <v>20</v>
      </c>
      <c r="E493" t="s">
        <v>12</v>
      </c>
      <c r="F493" t="s">
        <v>13</v>
      </c>
      <c r="G493">
        <v>1</v>
      </c>
      <c r="H493">
        <v>800</v>
      </c>
      <c r="I493">
        <v>800</v>
      </c>
      <c r="J493" s="2">
        <f t="shared" si="7"/>
        <v>45392</v>
      </c>
      <c r="K493" t="str">
        <f>TEXT(Table1[[#This Row],[Order_Date]],"mmm")</f>
        <v>Apr</v>
      </c>
    </row>
    <row r="494" spans="1:11" x14ac:dyDescent="0.25">
      <c r="A494">
        <v>1493</v>
      </c>
      <c r="B494" s="1" t="s">
        <v>319</v>
      </c>
      <c r="C494" t="s">
        <v>38</v>
      </c>
      <c r="D494" t="s">
        <v>33</v>
      </c>
      <c r="E494" t="s">
        <v>17</v>
      </c>
      <c r="F494" t="s">
        <v>13</v>
      </c>
      <c r="G494">
        <v>4</v>
      </c>
      <c r="H494">
        <v>3000</v>
      </c>
      <c r="I494">
        <v>12000</v>
      </c>
      <c r="J494" s="2">
        <f t="shared" si="7"/>
        <v>45618</v>
      </c>
      <c r="K494" t="str">
        <f>TEXT(Table1[[#This Row],[Order_Date]],"mmm")</f>
        <v>Nov</v>
      </c>
    </row>
    <row r="495" spans="1:11" x14ac:dyDescent="0.25">
      <c r="A495">
        <v>1494</v>
      </c>
      <c r="B495" s="1" t="s">
        <v>206</v>
      </c>
      <c r="C495" t="s">
        <v>50</v>
      </c>
      <c r="D495" t="s">
        <v>11</v>
      </c>
      <c r="E495" t="s">
        <v>35</v>
      </c>
      <c r="F495" t="s">
        <v>22</v>
      </c>
      <c r="G495">
        <v>4</v>
      </c>
      <c r="H495">
        <v>20000</v>
      </c>
      <c r="I495">
        <v>80000</v>
      </c>
      <c r="J495" s="2">
        <f t="shared" si="7"/>
        <v>45299</v>
      </c>
      <c r="K495" t="str">
        <f>TEXT(Table1[[#This Row],[Order_Date]],"mmm")</f>
        <v>Jan</v>
      </c>
    </row>
    <row r="496" spans="1:11" x14ac:dyDescent="0.25">
      <c r="A496">
        <v>1495</v>
      </c>
      <c r="B496" s="1" t="s">
        <v>215</v>
      </c>
      <c r="C496" t="s">
        <v>28</v>
      </c>
      <c r="D496" t="s">
        <v>33</v>
      </c>
      <c r="E496" t="s">
        <v>43</v>
      </c>
      <c r="F496" t="s">
        <v>44</v>
      </c>
      <c r="G496">
        <v>4</v>
      </c>
      <c r="H496">
        <v>1500</v>
      </c>
      <c r="I496">
        <v>6000</v>
      </c>
      <c r="J496" s="2">
        <f t="shared" si="7"/>
        <v>45471</v>
      </c>
      <c r="K496" t="str">
        <f>TEXT(Table1[[#This Row],[Order_Date]],"mmm")</f>
        <v>Jun</v>
      </c>
    </row>
    <row r="497" spans="1:11" x14ac:dyDescent="0.25">
      <c r="A497">
        <v>1496</v>
      </c>
      <c r="B497" s="1" t="s">
        <v>320</v>
      </c>
      <c r="C497" t="s">
        <v>32</v>
      </c>
      <c r="D497" t="s">
        <v>16</v>
      </c>
      <c r="E497" t="s">
        <v>35</v>
      </c>
      <c r="F497" t="s">
        <v>22</v>
      </c>
      <c r="G497">
        <v>3</v>
      </c>
      <c r="H497">
        <v>20000</v>
      </c>
      <c r="I497">
        <v>60000</v>
      </c>
      <c r="J497" s="2">
        <f t="shared" si="7"/>
        <v>45516</v>
      </c>
      <c r="K497" t="str">
        <f>TEXT(Table1[[#This Row],[Order_Date]],"mmm")</f>
        <v>Aug</v>
      </c>
    </row>
    <row r="498" spans="1:11" x14ac:dyDescent="0.25">
      <c r="A498">
        <v>1497</v>
      </c>
      <c r="B498" s="1" t="s">
        <v>125</v>
      </c>
      <c r="C498" t="s">
        <v>30</v>
      </c>
      <c r="D498" t="s">
        <v>47</v>
      </c>
      <c r="E498" t="s">
        <v>12</v>
      </c>
      <c r="F498" t="s">
        <v>13</v>
      </c>
      <c r="G498">
        <v>5</v>
      </c>
      <c r="H498">
        <v>800</v>
      </c>
      <c r="I498">
        <v>4000</v>
      </c>
      <c r="J498" s="2">
        <f t="shared" si="7"/>
        <v>45598</v>
      </c>
      <c r="K498" t="str">
        <f>TEXT(Table1[[#This Row],[Order_Date]],"mmm")</f>
        <v>Nov</v>
      </c>
    </row>
    <row r="499" spans="1:11" x14ac:dyDescent="0.25">
      <c r="A499">
        <v>1498</v>
      </c>
      <c r="B499" s="1" t="s">
        <v>321</v>
      </c>
      <c r="C499" t="s">
        <v>28</v>
      </c>
      <c r="D499" t="s">
        <v>16</v>
      </c>
      <c r="E499" t="s">
        <v>43</v>
      </c>
      <c r="F499" t="s">
        <v>44</v>
      </c>
      <c r="G499">
        <v>1</v>
      </c>
      <c r="H499">
        <v>1500</v>
      </c>
      <c r="I499">
        <v>1500</v>
      </c>
      <c r="J499" s="2">
        <f t="shared" si="7"/>
        <v>45581</v>
      </c>
      <c r="K499" t="str">
        <f>TEXT(Table1[[#This Row],[Order_Date]],"mmm")</f>
        <v>Oct</v>
      </c>
    </row>
    <row r="500" spans="1:11" x14ac:dyDescent="0.25">
      <c r="A500">
        <v>1499</v>
      </c>
      <c r="B500" s="1" t="s">
        <v>322</v>
      </c>
      <c r="C500" t="s">
        <v>19</v>
      </c>
      <c r="D500" t="s">
        <v>25</v>
      </c>
      <c r="E500" t="s">
        <v>43</v>
      </c>
      <c r="F500" t="s">
        <v>44</v>
      </c>
      <c r="G500">
        <v>1</v>
      </c>
      <c r="H500">
        <v>1500</v>
      </c>
      <c r="I500">
        <v>1500</v>
      </c>
      <c r="J500" s="2">
        <f t="shared" si="7"/>
        <v>45623</v>
      </c>
      <c r="K500" t="str">
        <f>TEXT(Table1[[#This Row],[Order_Date]],"mmm")</f>
        <v>Nov</v>
      </c>
    </row>
    <row r="501" spans="1:11" x14ac:dyDescent="0.25">
      <c r="A501">
        <v>1500</v>
      </c>
      <c r="B501" s="1" t="s">
        <v>226</v>
      </c>
      <c r="C501" t="s">
        <v>32</v>
      </c>
      <c r="D501" t="s">
        <v>25</v>
      </c>
      <c r="E501" t="s">
        <v>12</v>
      </c>
      <c r="F501" t="s">
        <v>13</v>
      </c>
      <c r="G501">
        <v>4</v>
      </c>
      <c r="H501">
        <v>800</v>
      </c>
      <c r="I501">
        <v>3200</v>
      </c>
      <c r="J501" s="2">
        <f t="shared" si="7"/>
        <v>45556</v>
      </c>
      <c r="K501" t="str">
        <f>TEXT(Table1[[#This Row],[Order_Date]],"mmm")</f>
        <v>Sep</v>
      </c>
    </row>
    <row r="502" spans="1:11" x14ac:dyDescent="0.25">
      <c r="A502">
        <v>1501</v>
      </c>
      <c r="B502" s="1" t="s">
        <v>308</v>
      </c>
      <c r="C502" t="s">
        <v>28</v>
      </c>
      <c r="D502" t="s">
        <v>20</v>
      </c>
      <c r="E502" t="s">
        <v>26</v>
      </c>
      <c r="F502" t="s">
        <v>22</v>
      </c>
      <c r="G502">
        <v>4</v>
      </c>
      <c r="H502">
        <v>2500</v>
      </c>
      <c r="I502">
        <v>10000</v>
      </c>
      <c r="J502" s="2">
        <f t="shared" si="7"/>
        <v>45542</v>
      </c>
      <c r="K502" t="str">
        <f>TEXT(Table1[[#This Row],[Order_Date]],"mmm")</f>
        <v>Sep</v>
      </c>
    </row>
    <row r="503" spans="1:11" x14ac:dyDescent="0.25">
      <c r="A503">
        <v>1502</v>
      </c>
      <c r="B503" s="1" t="s">
        <v>236</v>
      </c>
      <c r="C503" t="s">
        <v>24</v>
      </c>
      <c r="D503" t="s">
        <v>39</v>
      </c>
      <c r="E503" t="s">
        <v>48</v>
      </c>
      <c r="F503" t="s">
        <v>44</v>
      </c>
      <c r="G503">
        <v>2</v>
      </c>
      <c r="H503">
        <v>5000</v>
      </c>
      <c r="I503">
        <v>10000</v>
      </c>
      <c r="J503" s="2">
        <f t="shared" si="7"/>
        <v>45624</v>
      </c>
      <c r="K503" t="str">
        <f>TEXT(Table1[[#This Row],[Order_Date]],"mmm")</f>
        <v>Nov</v>
      </c>
    </row>
    <row r="504" spans="1:11" x14ac:dyDescent="0.25">
      <c r="A504">
        <v>1503</v>
      </c>
      <c r="B504" s="1" t="s">
        <v>323</v>
      </c>
      <c r="C504" t="s">
        <v>15</v>
      </c>
      <c r="D504" t="s">
        <v>25</v>
      </c>
      <c r="E504" t="s">
        <v>48</v>
      </c>
      <c r="F504" t="s">
        <v>44</v>
      </c>
      <c r="G504">
        <v>2</v>
      </c>
      <c r="H504">
        <v>5000</v>
      </c>
      <c r="I504">
        <v>10000</v>
      </c>
      <c r="J504" s="2">
        <f t="shared" si="7"/>
        <v>45533</v>
      </c>
      <c r="K504" t="str">
        <f>TEXT(Table1[[#This Row],[Order_Date]],"mmm")</f>
        <v>Aug</v>
      </c>
    </row>
    <row r="505" spans="1:11" x14ac:dyDescent="0.25">
      <c r="A505">
        <v>1504</v>
      </c>
      <c r="B505" s="1" t="s">
        <v>311</v>
      </c>
      <c r="C505" t="s">
        <v>57</v>
      </c>
      <c r="D505" t="s">
        <v>47</v>
      </c>
      <c r="E505" t="s">
        <v>35</v>
      </c>
      <c r="F505" t="s">
        <v>22</v>
      </c>
      <c r="G505">
        <v>2</v>
      </c>
      <c r="H505">
        <v>20000</v>
      </c>
      <c r="I505">
        <v>40000</v>
      </c>
      <c r="J505" s="2">
        <f t="shared" si="7"/>
        <v>45482</v>
      </c>
      <c r="K505" t="str">
        <f>TEXT(Table1[[#This Row],[Order_Date]],"mmm")</f>
        <v>Jul</v>
      </c>
    </row>
    <row r="506" spans="1:11" x14ac:dyDescent="0.25">
      <c r="A506">
        <v>1505</v>
      </c>
      <c r="B506" s="1" t="s">
        <v>324</v>
      </c>
      <c r="C506" t="s">
        <v>28</v>
      </c>
      <c r="D506" t="s">
        <v>11</v>
      </c>
      <c r="E506" t="s">
        <v>48</v>
      </c>
      <c r="F506" t="s">
        <v>44</v>
      </c>
      <c r="G506">
        <v>2</v>
      </c>
      <c r="H506">
        <v>5000</v>
      </c>
      <c r="I506">
        <v>10000</v>
      </c>
      <c r="J506" s="2">
        <f t="shared" si="7"/>
        <v>45375</v>
      </c>
      <c r="K506" t="str">
        <f>TEXT(Table1[[#This Row],[Order_Date]],"mmm")</f>
        <v>Mar</v>
      </c>
    </row>
    <row r="507" spans="1:11" x14ac:dyDescent="0.25">
      <c r="A507">
        <v>1506</v>
      </c>
      <c r="B507" s="1" t="s">
        <v>325</v>
      </c>
      <c r="C507" t="s">
        <v>50</v>
      </c>
      <c r="D507" t="s">
        <v>11</v>
      </c>
      <c r="E507" t="s">
        <v>51</v>
      </c>
      <c r="F507" t="s">
        <v>13</v>
      </c>
      <c r="G507">
        <v>4</v>
      </c>
      <c r="H507">
        <v>2000</v>
      </c>
      <c r="I507">
        <v>8000</v>
      </c>
      <c r="J507" s="2">
        <f t="shared" si="7"/>
        <v>45413</v>
      </c>
      <c r="K507" t="str">
        <f>TEXT(Table1[[#This Row],[Order_Date]],"mmm")</f>
        <v>May</v>
      </c>
    </row>
    <row r="508" spans="1:11" x14ac:dyDescent="0.25">
      <c r="A508">
        <v>1507</v>
      </c>
      <c r="B508" s="1" t="s">
        <v>223</v>
      </c>
      <c r="C508" t="s">
        <v>50</v>
      </c>
      <c r="D508" t="s">
        <v>11</v>
      </c>
      <c r="E508" t="s">
        <v>26</v>
      </c>
      <c r="F508" t="s">
        <v>22</v>
      </c>
      <c r="G508">
        <v>5</v>
      </c>
      <c r="H508">
        <v>2500</v>
      </c>
      <c r="I508">
        <v>12500</v>
      </c>
      <c r="J508" s="2">
        <f t="shared" si="7"/>
        <v>45655</v>
      </c>
      <c r="K508" t="str">
        <f>TEXT(Table1[[#This Row],[Order_Date]],"mmm")</f>
        <v>Dec</v>
      </c>
    </row>
    <row r="509" spans="1:11" x14ac:dyDescent="0.25">
      <c r="A509">
        <v>1508</v>
      </c>
      <c r="B509" s="1" t="s">
        <v>326</v>
      </c>
      <c r="C509" t="s">
        <v>10</v>
      </c>
      <c r="D509" t="s">
        <v>11</v>
      </c>
      <c r="E509" t="s">
        <v>43</v>
      </c>
      <c r="F509" t="s">
        <v>44</v>
      </c>
      <c r="G509">
        <v>3</v>
      </c>
      <c r="H509">
        <v>1500</v>
      </c>
      <c r="I509">
        <v>4500</v>
      </c>
      <c r="J509" s="2">
        <f t="shared" si="7"/>
        <v>45484</v>
      </c>
      <c r="K509" t="str">
        <f>TEXT(Table1[[#This Row],[Order_Date]],"mmm")</f>
        <v>Jul</v>
      </c>
    </row>
    <row r="510" spans="1:11" x14ac:dyDescent="0.25">
      <c r="A510">
        <v>1509</v>
      </c>
      <c r="B510" s="1" t="s">
        <v>278</v>
      </c>
      <c r="C510" t="s">
        <v>28</v>
      </c>
      <c r="D510" t="s">
        <v>39</v>
      </c>
      <c r="E510" t="s">
        <v>48</v>
      </c>
      <c r="F510" t="s">
        <v>44</v>
      </c>
      <c r="G510">
        <v>3</v>
      </c>
      <c r="H510">
        <v>5000</v>
      </c>
      <c r="I510">
        <v>15000</v>
      </c>
      <c r="J510" s="2">
        <f t="shared" si="7"/>
        <v>45392</v>
      </c>
      <c r="K510" t="str">
        <f>TEXT(Table1[[#This Row],[Order_Date]],"mmm")</f>
        <v>Apr</v>
      </c>
    </row>
    <row r="511" spans="1:11" x14ac:dyDescent="0.25">
      <c r="A511">
        <v>1510</v>
      </c>
      <c r="B511" s="1" t="s">
        <v>327</v>
      </c>
      <c r="C511" t="s">
        <v>32</v>
      </c>
      <c r="D511" t="s">
        <v>11</v>
      </c>
      <c r="E511" t="s">
        <v>12</v>
      </c>
      <c r="F511" t="s">
        <v>13</v>
      </c>
      <c r="G511">
        <v>3</v>
      </c>
      <c r="H511">
        <v>800</v>
      </c>
      <c r="I511">
        <v>2400</v>
      </c>
      <c r="J511" s="2">
        <f t="shared" si="7"/>
        <v>45491</v>
      </c>
      <c r="K511" t="str">
        <f>TEXT(Table1[[#This Row],[Order_Date]],"mmm")</f>
        <v>Jul</v>
      </c>
    </row>
    <row r="512" spans="1:11" x14ac:dyDescent="0.25">
      <c r="A512">
        <v>1511</v>
      </c>
      <c r="B512" s="1" t="s">
        <v>210</v>
      </c>
      <c r="C512" t="s">
        <v>28</v>
      </c>
      <c r="D512" t="s">
        <v>20</v>
      </c>
      <c r="E512" t="s">
        <v>21</v>
      </c>
      <c r="F512" t="s">
        <v>22</v>
      </c>
      <c r="G512">
        <v>2</v>
      </c>
      <c r="H512">
        <v>50000</v>
      </c>
      <c r="I512">
        <v>100000</v>
      </c>
      <c r="J512" s="2">
        <f t="shared" si="7"/>
        <v>45480</v>
      </c>
      <c r="K512" t="str">
        <f>TEXT(Table1[[#This Row],[Order_Date]],"mmm")</f>
        <v>Jul</v>
      </c>
    </row>
    <row r="513" spans="1:11" x14ac:dyDescent="0.25">
      <c r="A513">
        <v>1512</v>
      </c>
      <c r="B513" s="1" t="s">
        <v>92</v>
      </c>
      <c r="C513" t="s">
        <v>32</v>
      </c>
      <c r="D513" t="s">
        <v>11</v>
      </c>
      <c r="E513" t="s">
        <v>12</v>
      </c>
      <c r="F513" t="s">
        <v>13</v>
      </c>
      <c r="G513">
        <v>1</v>
      </c>
      <c r="H513">
        <v>800</v>
      </c>
      <c r="I513">
        <v>800</v>
      </c>
      <c r="J513" s="2">
        <f t="shared" si="7"/>
        <v>45405</v>
      </c>
      <c r="K513" t="str">
        <f>TEXT(Table1[[#This Row],[Order_Date]],"mmm")</f>
        <v>Apr</v>
      </c>
    </row>
    <row r="514" spans="1:11" x14ac:dyDescent="0.25">
      <c r="A514">
        <v>1513</v>
      </c>
      <c r="B514" s="1" t="s">
        <v>238</v>
      </c>
      <c r="C514" t="s">
        <v>24</v>
      </c>
      <c r="D514" t="s">
        <v>11</v>
      </c>
      <c r="E514" t="s">
        <v>48</v>
      </c>
      <c r="F514" t="s">
        <v>44</v>
      </c>
      <c r="G514">
        <v>3</v>
      </c>
      <c r="H514">
        <v>5000</v>
      </c>
      <c r="I514">
        <v>15000</v>
      </c>
      <c r="J514" s="2">
        <f t="shared" ref="J514:J577" si="8">DATE(RIGHT(B514,4), MID(B514,4,2), LEFT(B514,2))</f>
        <v>45351</v>
      </c>
      <c r="K514" t="str">
        <f>TEXT(Table1[[#This Row],[Order_Date]],"mmm")</f>
        <v>Feb</v>
      </c>
    </row>
    <row r="515" spans="1:11" x14ac:dyDescent="0.25">
      <c r="A515">
        <v>1514</v>
      </c>
      <c r="B515" s="1" t="s">
        <v>328</v>
      </c>
      <c r="C515" t="s">
        <v>53</v>
      </c>
      <c r="D515" t="s">
        <v>11</v>
      </c>
      <c r="E515" t="s">
        <v>43</v>
      </c>
      <c r="F515" t="s">
        <v>44</v>
      </c>
      <c r="G515">
        <v>2</v>
      </c>
      <c r="H515">
        <v>1500</v>
      </c>
      <c r="I515">
        <v>3000</v>
      </c>
      <c r="J515" s="2">
        <f t="shared" si="8"/>
        <v>45428</v>
      </c>
      <c r="K515" t="str">
        <f>TEXT(Table1[[#This Row],[Order_Date]],"mmm")</f>
        <v>May</v>
      </c>
    </row>
    <row r="516" spans="1:11" x14ac:dyDescent="0.25">
      <c r="A516">
        <v>1515</v>
      </c>
      <c r="B516" s="1" t="s">
        <v>329</v>
      </c>
      <c r="C516" t="s">
        <v>50</v>
      </c>
      <c r="D516" t="s">
        <v>20</v>
      </c>
      <c r="E516" t="s">
        <v>51</v>
      </c>
      <c r="F516" t="s">
        <v>13</v>
      </c>
      <c r="G516">
        <v>1</v>
      </c>
      <c r="H516">
        <v>2000</v>
      </c>
      <c r="I516">
        <v>2000</v>
      </c>
      <c r="J516" s="2">
        <f t="shared" si="8"/>
        <v>45527</v>
      </c>
      <c r="K516" t="str">
        <f>TEXT(Table1[[#This Row],[Order_Date]],"mmm")</f>
        <v>Aug</v>
      </c>
    </row>
    <row r="517" spans="1:11" x14ac:dyDescent="0.25">
      <c r="A517">
        <v>1516</v>
      </c>
      <c r="B517" s="1" t="s">
        <v>170</v>
      </c>
      <c r="C517" t="s">
        <v>32</v>
      </c>
      <c r="D517" t="s">
        <v>39</v>
      </c>
      <c r="E517" t="s">
        <v>12</v>
      </c>
      <c r="F517" t="s">
        <v>13</v>
      </c>
      <c r="G517">
        <v>2</v>
      </c>
      <c r="H517">
        <v>800</v>
      </c>
      <c r="I517">
        <v>1600</v>
      </c>
      <c r="J517" s="2">
        <f t="shared" si="8"/>
        <v>45593</v>
      </c>
      <c r="K517" t="str">
        <f>TEXT(Table1[[#This Row],[Order_Date]],"mmm")</f>
        <v>Oct</v>
      </c>
    </row>
    <row r="518" spans="1:11" x14ac:dyDescent="0.25">
      <c r="A518">
        <v>1517</v>
      </c>
      <c r="B518" s="1" t="s">
        <v>310</v>
      </c>
      <c r="C518" t="s">
        <v>24</v>
      </c>
      <c r="D518" t="s">
        <v>25</v>
      </c>
      <c r="E518" t="s">
        <v>48</v>
      </c>
      <c r="F518" t="s">
        <v>44</v>
      </c>
      <c r="G518">
        <v>3</v>
      </c>
      <c r="H518">
        <v>5000</v>
      </c>
      <c r="I518">
        <v>15000</v>
      </c>
      <c r="J518" s="2">
        <f t="shared" si="8"/>
        <v>45292</v>
      </c>
      <c r="K518" t="str">
        <f>TEXT(Table1[[#This Row],[Order_Date]],"mmm")</f>
        <v>Jan</v>
      </c>
    </row>
    <row r="519" spans="1:11" x14ac:dyDescent="0.25">
      <c r="A519">
        <v>1518</v>
      </c>
      <c r="B519" s="1" t="s">
        <v>227</v>
      </c>
      <c r="C519" t="s">
        <v>15</v>
      </c>
      <c r="D519" t="s">
        <v>20</v>
      </c>
      <c r="E519" t="s">
        <v>21</v>
      </c>
      <c r="F519" t="s">
        <v>22</v>
      </c>
      <c r="G519">
        <v>2</v>
      </c>
      <c r="H519">
        <v>50000</v>
      </c>
      <c r="I519">
        <v>100000</v>
      </c>
      <c r="J519" s="2">
        <f t="shared" si="8"/>
        <v>45295</v>
      </c>
      <c r="K519" t="str">
        <f>TEXT(Table1[[#This Row],[Order_Date]],"mmm")</f>
        <v>Jan</v>
      </c>
    </row>
    <row r="520" spans="1:11" x14ac:dyDescent="0.25">
      <c r="A520">
        <v>1519</v>
      </c>
      <c r="B520" s="1" t="s">
        <v>330</v>
      </c>
      <c r="C520" t="s">
        <v>53</v>
      </c>
      <c r="D520" t="s">
        <v>20</v>
      </c>
      <c r="E520" t="s">
        <v>21</v>
      </c>
      <c r="F520" t="s">
        <v>22</v>
      </c>
      <c r="G520">
        <v>2</v>
      </c>
      <c r="H520">
        <v>50000</v>
      </c>
      <c r="I520">
        <v>100000</v>
      </c>
      <c r="J520" s="2">
        <f t="shared" si="8"/>
        <v>45585</v>
      </c>
      <c r="K520" t="str">
        <f>TEXT(Table1[[#This Row],[Order_Date]],"mmm")</f>
        <v>Oct</v>
      </c>
    </row>
    <row r="521" spans="1:11" x14ac:dyDescent="0.25">
      <c r="A521">
        <v>1520</v>
      </c>
      <c r="B521" s="1" t="s">
        <v>80</v>
      </c>
      <c r="C521" t="s">
        <v>57</v>
      </c>
      <c r="D521" t="s">
        <v>20</v>
      </c>
      <c r="E521" t="s">
        <v>12</v>
      </c>
      <c r="F521" t="s">
        <v>13</v>
      </c>
      <c r="G521">
        <v>2</v>
      </c>
      <c r="H521">
        <v>800</v>
      </c>
      <c r="I521">
        <v>1600</v>
      </c>
      <c r="J521" s="2">
        <f t="shared" si="8"/>
        <v>45628</v>
      </c>
      <c r="K521" t="str">
        <f>TEXT(Table1[[#This Row],[Order_Date]],"mmm")</f>
        <v>Dec</v>
      </c>
    </row>
    <row r="522" spans="1:11" x14ac:dyDescent="0.25">
      <c r="A522">
        <v>1521</v>
      </c>
      <c r="B522" s="1" t="s">
        <v>307</v>
      </c>
      <c r="C522" t="s">
        <v>32</v>
      </c>
      <c r="D522" t="s">
        <v>39</v>
      </c>
      <c r="E522" t="s">
        <v>12</v>
      </c>
      <c r="F522" t="s">
        <v>13</v>
      </c>
      <c r="G522">
        <v>1</v>
      </c>
      <c r="H522">
        <v>800</v>
      </c>
      <c r="I522">
        <v>800</v>
      </c>
      <c r="J522" s="2">
        <f t="shared" si="8"/>
        <v>45641</v>
      </c>
      <c r="K522" t="str">
        <f>TEXT(Table1[[#This Row],[Order_Date]],"mmm")</f>
        <v>Dec</v>
      </c>
    </row>
    <row r="523" spans="1:11" x14ac:dyDescent="0.25">
      <c r="A523">
        <v>1522</v>
      </c>
      <c r="B523" s="1" t="s">
        <v>217</v>
      </c>
      <c r="C523" t="s">
        <v>38</v>
      </c>
      <c r="D523" t="s">
        <v>39</v>
      </c>
      <c r="E523" t="s">
        <v>26</v>
      </c>
      <c r="F523" t="s">
        <v>22</v>
      </c>
      <c r="G523">
        <v>3</v>
      </c>
      <c r="H523">
        <v>2500</v>
      </c>
      <c r="I523">
        <v>7500</v>
      </c>
      <c r="J523" s="2">
        <f t="shared" si="8"/>
        <v>45294</v>
      </c>
      <c r="K523" t="str">
        <f>TEXT(Table1[[#This Row],[Order_Date]],"mmm")</f>
        <v>Jan</v>
      </c>
    </row>
    <row r="524" spans="1:11" x14ac:dyDescent="0.25">
      <c r="A524">
        <v>1523</v>
      </c>
      <c r="B524" s="1" t="s">
        <v>68</v>
      </c>
      <c r="C524" t="s">
        <v>15</v>
      </c>
      <c r="D524" t="s">
        <v>39</v>
      </c>
      <c r="E524" t="s">
        <v>17</v>
      </c>
      <c r="F524" t="s">
        <v>13</v>
      </c>
      <c r="G524">
        <v>3</v>
      </c>
      <c r="H524">
        <v>3000</v>
      </c>
      <c r="I524">
        <v>9000</v>
      </c>
      <c r="J524" s="2">
        <f t="shared" si="8"/>
        <v>45332</v>
      </c>
      <c r="K524" t="str">
        <f>TEXT(Table1[[#This Row],[Order_Date]],"mmm")</f>
        <v>Feb</v>
      </c>
    </row>
    <row r="525" spans="1:11" x14ac:dyDescent="0.25">
      <c r="A525">
        <v>1524</v>
      </c>
      <c r="B525" s="1" t="s">
        <v>100</v>
      </c>
      <c r="C525" t="s">
        <v>38</v>
      </c>
      <c r="D525" t="s">
        <v>16</v>
      </c>
      <c r="E525" t="s">
        <v>43</v>
      </c>
      <c r="F525" t="s">
        <v>44</v>
      </c>
      <c r="G525">
        <v>1</v>
      </c>
      <c r="H525">
        <v>1500</v>
      </c>
      <c r="I525">
        <v>1500</v>
      </c>
      <c r="J525" s="2">
        <f t="shared" si="8"/>
        <v>45395</v>
      </c>
      <c r="K525" t="str">
        <f>TEXT(Table1[[#This Row],[Order_Date]],"mmm")</f>
        <v>Apr</v>
      </c>
    </row>
    <row r="526" spans="1:11" x14ac:dyDescent="0.25">
      <c r="A526">
        <v>1525</v>
      </c>
      <c r="B526" s="1" t="s">
        <v>319</v>
      </c>
      <c r="C526" t="s">
        <v>53</v>
      </c>
      <c r="D526" t="s">
        <v>39</v>
      </c>
      <c r="E526" t="s">
        <v>21</v>
      </c>
      <c r="F526" t="s">
        <v>22</v>
      </c>
      <c r="G526">
        <v>5</v>
      </c>
      <c r="H526">
        <v>50000</v>
      </c>
      <c r="I526">
        <v>250000</v>
      </c>
      <c r="J526" s="2">
        <f t="shared" si="8"/>
        <v>45618</v>
      </c>
      <c r="K526" t="str">
        <f>TEXT(Table1[[#This Row],[Order_Date]],"mmm")</f>
        <v>Nov</v>
      </c>
    </row>
    <row r="527" spans="1:11" x14ac:dyDescent="0.25">
      <c r="A527">
        <v>1526</v>
      </c>
      <c r="B527" s="1" t="s">
        <v>296</v>
      </c>
      <c r="C527" t="s">
        <v>15</v>
      </c>
      <c r="D527" t="s">
        <v>39</v>
      </c>
      <c r="E527" t="s">
        <v>12</v>
      </c>
      <c r="F527" t="s">
        <v>13</v>
      </c>
      <c r="G527">
        <v>2</v>
      </c>
      <c r="H527">
        <v>800</v>
      </c>
      <c r="I527">
        <v>1600</v>
      </c>
      <c r="J527" s="2">
        <f t="shared" si="8"/>
        <v>45524</v>
      </c>
      <c r="K527" t="str">
        <f>TEXT(Table1[[#This Row],[Order_Date]],"mmm")</f>
        <v>Aug</v>
      </c>
    </row>
    <row r="528" spans="1:11" x14ac:dyDescent="0.25">
      <c r="A528">
        <v>1527</v>
      </c>
      <c r="B528" s="1" t="s">
        <v>27</v>
      </c>
      <c r="C528" t="s">
        <v>53</v>
      </c>
      <c r="D528" t="s">
        <v>20</v>
      </c>
      <c r="E528" t="s">
        <v>12</v>
      </c>
      <c r="F528" t="s">
        <v>13</v>
      </c>
      <c r="G528">
        <v>4</v>
      </c>
      <c r="H528">
        <v>800</v>
      </c>
      <c r="I528">
        <v>3200</v>
      </c>
      <c r="J528" s="2">
        <f t="shared" si="8"/>
        <v>45465</v>
      </c>
      <c r="K528" t="str">
        <f>TEXT(Table1[[#This Row],[Order_Date]],"mmm")</f>
        <v>Jun</v>
      </c>
    </row>
    <row r="529" spans="1:11" x14ac:dyDescent="0.25">
      <c r="A529">
        <v>1528</v>
      </c>
      <c r="B529" s="1" t="s">
        <v>204</v>
      </c>
      <c r="C529" t="s">
        <v>28</v>
      </c>
      <c r="D529" t="s">
        <v>20</v>
      </c>
      <c r="E529" t="s">
        <v>17</v>
      </c>
      <c r="F529" t="s">
        <v>13</v>
      </c>
      <c r="G529">
        <v>5</v>
      </c>
      <c r="H529">
        <v>3000</v>
      </c>
      <c r="I529">
        <v>15000</v>
      </c>
      <c r="J529" s="2">
        <f t="shared" si="8"/>
        <v>45331</v>
      </c>
      <c r="K529" t="str">
        <f>TEXT(Table1[[#This Row],[Order_Date]],"mmm")</f>
        <v>Feb</v>
      </c>
    </row>
    <row r="530" spans="1:11" x14ac:dyDescent="0.25">
      <c r="A530">
        <v>1529</v>
      </c>
      <c r="B530" s="1" t="s">
        <v>182</v>
      </c>
      <c r="C530" t="s">
        <v>30</v>
      </c>
      <c r="D530" t="s">
        <v>47</v>
      </c>
      <c r="E530" t="s">
        <v>26</v>
      </c>
      <c r="F530" t="s">
        <v>22</v>
      </c>
      <c r="G530">
        <v>5</v>
      </c>
      <c r="H530">
        <v>2500</v>
      </c>
      <c r="I530">
        <v>12500</v>
      </c>
      <c r="J530" s="2">
        <f t="shared" si="8"/>
        <v>45551</v>
      </c>
      <c r="K530" t="str">
        <f>TEXT(Table1[[#This Row],[Order_Date]],"mmm")</f>
        <v>Sep</v>
      </c>
    </row>
    <row r="531" spans="1:11" x14ac:dyDescent="0.25">
      <c r="A531">
        <v>1530</v>
      </c>
      <c r="B531" s="1" t="s">
        <v>263</v>
      </c>
      <c r="C531" t="s">
        <v>15</v>
      </c>
      <c r="D531" t="s">
        <v>39</v>
      </c>
      <c r="E531" t="s">
        <v>35</v>
      </c>
      <c r="F531" t="s">
        <v>22</v>
      </c>
      <c r="G531">
        <v>5</v>
      </c>
      <c r="H531">
        <v>20000</v>
      </c>
      <c r="I531">
        <v>100000</v>
      </c>
      <c r="J531" s="2">
        <f t="shared" si="8"/>
        <v>45517</v>
      </c>
      <c r="K531" t="str">
        <f>TEXT(Table1[[#This Row],[Order_Date]],"mmm")</f>
        <v>Aug</v>
      </c>
    </row>
    <row r="532" spans="1:11" x14ac:dyDescent="0.25">
      <c r="A532">
        <v>1531</v>
      </c>
      <c r="B532" s="1" t="s">
        <v>69</v>
      </c>
      <c r="C532" t="s">
        <v>53</v>
      </c>
      <c r="D532" t="s">
        <v>11</v>
      </c>
      <c r="E532" t="s">
        <v>12</v>
      </c>
      <c r="F532" t="s">
        <v>13</v>
      </c>
      <c r="G532">
        <v>4</v>
      </c>
      <c r="H532">
        <v>800</v>
      </c>
      <c r="I532">
        <v>3200</v>
      </c>
      <c r="J532" s="2">
        <f t="shared" si="8"/>
        <v>45467</v>
      </c>
      <c r="K532" t="str">
        <f>TEXT(Table1[[#This Row],[Order_Date]],"mmm")</f>
        <v>Jun</v>
      </c>
    </row>
    <row r="533" spans="1:11" x14ac:dyDescent="0.25">
      <c r="A533">
        <v>1532</v>
      </c>
      <c r="B533" s="1" t="s">
        <v>195</v>
      </c>
      <c r="C533" t="s">
        <v>10</v>
      </c>
      <c r="D533" t="s">
        <v>47</v>
      </c>
      <c r="E533" t="s">
        <v>26</v>
      </c>
      <c r="F533" t="s">
        <v>22</v>
      </c>
      <c r="G533">
        <v>4</v>
      </c>
      <c r="H533">
        <v>2500</v>
      </c>
      <c r="I533">
        <v>10000</v>
      </c>
      <c r="J533" s="2">
        <f t="shared" si="8"/>
        <v>45606</v>
      </c>
      <c r="K533" t="str">
        <f>TEXT(Table1[[#This Row],[Order_Date]],"mmm")</f>
        <v>Nov</v>
      </c>
    </row>
    <row r="534" spans="1:11" x14ac:dyDescent="0.25">
      <c r="A534">
        <v>1533</v>
      </c>
      <c r="B534" s="1" t="s">
        <v>90</v>
      </c>
      <c r="C534" t="s">
        <v>24</v>
      </c>
      <c r="D534" t="s">
        <v>25</v>
      </c>
      <c r="E534" t="s">
        <v>35</v>
      </c>
      <c r="F534" t="s">
        <v>22</v>
      </c>
      <c r="G534">
        <v>5</v>
      </c>
      <c r="H534">
        <v>20000</v>
      </c>
      <c r="I534">
        <v>100000</v>
      </c>
      <c r="J534" s="2">
        <f t="shared" si="8"/>
        <v>45445</v>
      </c>
      <c r="K534" t="str">
        <f>TEXT(Table1[[#This Row],[Order_Date]],"mmm")</f>
        <v>Jun</v>
      </c>
    </row>
    <row r="535" spans="1:11" x14ac:dyDescent="0.25">
      <c r="A535">
        <v>1534</v>
      </c>
      <c r="B535" s="1" t="s">
        <v>183</v>
      </c>
      <c r="C535" t="s">
        <v>15</v>
      </c>
      <c r="D535" t="s">
        <v>20</v>
      </c>
      <c r="E535" t="s">
        <v>48</v>
      </c>
      <c r="F535" t="s">
        <v>44</v>
      </c>
      <c r="G535">
        <v>5</v>
      </c>
      <c r="H535">
        <v>5000</v>
      </c>
      <c r="I535">
        <v>25000</v>
      </c>
      <c r="J535" s="2">
        <f t="shared" si="8"/>
        <v>45462</v>
      </c>
      <c r="K535" t="str">
        <f>TEXT(Table1[[#This Row],[Order_Date]],"mmm")</f>
        <v>Jun</v>
      </c>
    </row>
    <row r="536" spans="1:11" x14ac:dyDescent="0.25">
      <c r="A536">
        <v>1535</v>
      </c>
      <c r="B536" s="1" t="s">
        <v>331</v>
      </c>
      <c r="C536" t="s">
        <v>24</v>
      </c>
      <c r="D536" t="s">
        <v>39</v>
      </c>
      <c r="E536" t="s">
        <v>21</v>
      </c>
      <c r="F536" t="s">
        <v>22</v>
      </c>
      <c r="G536">
        <v>2</v>
      </c>
      <c r="H536">
        <v>50000</v>
      </c>
      <c r="I536">
        <v>100000</v>
      </c>
      <c r="J536" s="2">
        <f t="shared" si="8"/>
        <v>45304</v>
      </c>
      <c r="K536" t="str">
        <f>TEXT(Table1[[#This Row],[Order_Date]],"mmm")</f>
        <v>Jan</v>
      </c>
    </row>
    <row r="537" spans="1:11" x14ac:dyDescent="0.25">
      <c r="A537">
        <v>1536</v>
      </c>
      <c r="B537" s="1" t="s">
        <v>295</v>
      </c>
      <c r="C537" t="s">
        <v>19</v>
      </c>
      <c r="D537" t="s">
        <v>39</v>
      </c>
      <c r="E537" t="s">
        <v>43</v>
      </c>
      <c r="F537" t="s">
        <v>44</v>
      </c>
      <c r="G537">
        <v>5</v>
      </c>
      <c r="H537">
        <v>1500</v>
      </c>
      <c r="I537">
        <v>7500</v>
      </c>
      <c r="J537" s="2">
        <f t="shared" si="8"/>
        <v>45640</v>
      </c>
      <c r="K537" t="str">
        <f>TEXT(Table1[[#This Row],[Order_Date]],"mmm")</f>
        <v>Dec</v>
      </c>
    </row>
    <row r="538" spans="1:11" x14ac:dyDescent="0.25">
      <c r="A538">
        <v>1537</v>
      </c>
      <c r="B538" s="1" t="s">
        <v>316</v>
      </c>
      <c r="C538" t="s">
        <v>24</v>
      </c>
      <c r="D538" t="s">
        <v>25</v>
      </c>
      <c r="E538" t="s">
        <v>21</v>
      </c>
      <c r="F538" t="s">
        <v>22</v>
      </c>
      <c r="G538">
        <v>5</v>
      </c>
      <c r="H538">
        <v>50000</v>
      </c>
      <c r="I538">
        <v>250000</v>
      </c>
      <c r="J538" s="2">
        <f t="shared" si="8"/>
        <v>45444</v>
      </c>
      <c r="K538" t="str">
        <f>TEXT(Table1[[#This Row],[Order_Date]],"mmm")</f>
        <v>Jun</v>
      </c>
    </row>
    <row r="539" spans="1:11" x14ac:dyDescent="0.25">
      <c r="A539">
        <v>1538</v>
      </c>
      <c r="B539" s="1" t="s">
        <v>332</v>
      </c>
      <c r="C539" t="s">
        <v>38</v>
      </c>
      <c r="D539" t="s">
        <v>33</v>
      </c>
      <c r="E539" t="s">
        <v>12</v>
      </c>
      <c r="F539" t="s">
        <v>13</v>
      </c>
      <c r="G539">
        <v>1</v>
      </c>
      <c r="H539">
        <v>800</v>
      </c>
      <c r="I539">
        <v>800</v>
      </c>
      <c r="J539" s="2">
        <f t="shared" si="8"/>
        <v>45645</v>
      </c>
      <c r="K539" t="str">
        <f>TEXT(Table1[[#This Row],[Order_Date]],"mmm")</f>
        <v>Dec</v>
      </c>
    </row>
    <row r="540" spans="1:11" x14ac:dyDescent="0.25">
      <c r="A540">
        <v>1539</v>
      </c>
      <c r="B540" s="1" t="s">
        <v>333</v>
      </c>
      <c r="C540" t="s">
        <v>38</v>
      </c>
      <c r="D540" t="s">
        <v>20</v>
      </c>
      <c r="E540" t="s">
        <v>12</v>
      </c>
      <c r="F540" t="s">
        <v>13</v>
      </c>
      <c r="G540">
        <v>4</v>
      </c>
      <c r="H540">
        <v>800</v>
      </c>
      <c r="I540">
        <v>3200</v>
      </c>
      <c r="J540" s="2">
        <f t="shared" si="8"/>
        <v>45612</v>
      </c>
      <c r="K540" t="str">
        <f>TEXT(Table1[[#This Row],[Order_Date]],"mmm")</f>
        <v>Nov</v>
      </c>
    </row>
    <row r="541" spans="1:11" x14ac:dyDescent="0.25">
      <c r="A541">
        <v>1540</v>
      </c>
      <c r="B541" s="1" t="s">
        <v>334</v>
      </c>
      <c r="C541" t="s">
        <v>10</v>
      </c>
      <c r="D541" t="s">
        <v>16</v>
      </c>
      <c r="E541" t="s">
        <v>43</v>
      </c>
      <c r="F541" t="s">
        <v>44</v>
      </c>
      <c r="G541">
        <v>2</v>
      </c>
      <c r="H541">
        <v>1500</v>
      </c>
      <c r="I541">
        <v>3000</v>
      </c>
      <c r="J541" s="2">
        <f t="shared" si="8"/>
        <v>45422</v>
      </c>
      <c r="K541" t="str">
        <f>TEXT(Table1[[#This Row],[Order_Date]],"mmm")</f>
        <v>May</v>
      </c>
    </row>
    <row r="542" spans="1:11" x14ac:dyDescent="0.25">
      <c r="A542">
        <v>1541</v>
      </c>
      <c r="B542" s="1" t="s">
        <v>268</v>
      </c>
      <c r="C542" t="s">
        <v>15</v>
      </c>
      <c r="D542" t="s">
        <v>39</v>
      </c>
      <c r="E542" t="s">
        <v>48</v>
      </c>
      <c r="F542" t="s">
        <v>44</v>
      </c>
      <c r="G542">
        <v>2</v>
      </c>
      <c r="H542">
        <v>5000</v>
      </c>
      <c r="I542">
        <v>10000</v>
      </c>
      <c r="J542" s="2">
        <f t="shared" si="8"/>
        <v>45494</v>
      </c>
      <c r="K542" t="str">
        <f>TEXT(Table1[[#This Row],[Order_Date]],"mmm")</f>
        <v>Jul</v>
      </c>
    </row>
    <row r="543" spans="1:11" x14ac:dyDescent="0.25">
      <c r="A543">
        <v>1542</v>
      </c>
      <c r="B543" s="1" t="s">
        <v>335</v>
      </c>
      <c r="C543" t="s">
        <v>50</v>
      </c>
      <c r="D543" t="s">
        <v>39</v>
      </c>
      <c r="E543" t="s">
        <v>26</v>
      </c>
      <c r="F543" t="s">
        <v>22</v>
      </c>
      <c r="G543">
        <v>1</v>
      </c>
      <c r="H543">
        <v>2500</v>
      </c>
      <c r="I543">
        <v>2500</v>
      </c>
      <c r="J543" s="2">
        <f t="shared" si="8"/>
        <v>45649</v>
      </c>
      <c r="K543" t="str">
        <f>TEXT(Table1[[#This Row],[Order_Date]],"mmm")</f>
        <v>Dec</v>
      </c>
    </row>
    <row r="544" spans="1:11" x14ac:dyDescent="0.25">
      <c r="A544">
        <v>1543</v>
      </c>
      <c r="B544" s="1" t="s">
        <v>336</v>
      </c>
      <c r="C544" t="s">
        <v>57</v>
      </c>
      <c r="D544" t="s">
        <v>16</v>
      </c>
      <c r="E544" t="s">
        <v>12</v>
      </c>
      <c r="F544" t="s">
        <v>13</v>
      </c>
      <c r="G544">
        <v>5</v>
      </c>
      <c r="H544">
        <v>800</v>
      </c>
      <c r="I544">
        <v>4000</v>
      </c>
      <c r="J544" s="2">
        <f t="shared" si="8"/>
        <v>45350</v>
      </c>
      <c r="K544" t="str">
        <f>TEXT(Table1[[#This Row],[Order_Date]],"mmm")</f>
        <v>Feb</v>
      </c>
    </row>
    <row r="545" spans="1:11" x14ac:dyDescent="0.25">
      <c r="A545">
        <v>1544</v>
      </c>
      <c r="B545" s="1" t="s">
        <v>9</v>
      </c>
      <c r="C545" t="s">
        <v>38</v>
      </c>
      <c r="D545" t="s">
        <v>39</v>
      </c>
      <c r="E545" t="s">
        <v>35</v>
      </c>
      <c r="F545" t="s">
        <v>22</v>
      </c>
      <c r="G545">
        <v>2</v>
      </c>
      <c r="H545">
        <v>20000</v>
      </c>
      <c r="I545">
        <v>40000</v>
      </c>
      <c r="J545" s="2">
        <f t="shared" si="8"/>
        <v>45353</v>
      </c>
      <c r="K545" t="str">
        <f>TEXT(Table1[[#This Row],[Order_Date]],"mmm")</f>
        <v>Mar</v>
      </c>
    </row>
    <row r="546" spans="1:11" x14ac:dyDescent="0.25">
      <c r="A546">
        <v>1545</v>
      </c>
      <c r="B546" s="1" t="s">
        <v>46</v>
      </c>
      <c r="C546" t="s">
        <v>38</v>
      </c>
      <c r="D546" t="s">
        <v>11</v>
      </c>
      <c r="E546" t="s">
        <v>26</v>
      </c>
      <c r="F546" t="s">
        <v>22</v>
      </c>
      <c r="G546">
        <v>1</v>
      </c>
      <c r="H546">
        <v>2500</v>
      </c>
      <c r="I546">
        <v>2500</v>
      </c>
      <c r="J546" s="2">
        <f t="shared" si="8"/>
        <v>45602</v>
      </c>
      <c r="K546" t="str">
        <f>TEXT(Table1[[#This Row],[Order_Date]],"mmm")</f>
        <v>Nov</v>
      </c>
    </row>
    <row r="547" spans="1:11" x14ac:dyDescent="0.25">
      <c r="A547">
        <v>1546</v>
      </c>
      <c r="B547" s="1" t="s">
        <v>252</v>
      </c>
      <c r="C547" t="s">
        <v>19</v>
      </c>
      <c r="D547" t="s">
        <v>33</v>
      </c>
      <c r="E547" t="s">
        <v>48</v>
      </c>
      <c r="F547" t="s">
        <v>44</v>
      </c>
      <c r="G547">
        <v>4</v>
      </c>
      <c r="H547">
        <v>5000</v>
      </c>
      <c r="I547">
        <v>20000</v>
      </c>
      <c r="J547" s="2">
        <f t="shared" si="8"/>
        <v>45483</v>
      </c>
      <c r="K547" t="str">
        <f>TEXT(Table1[[#This Row],[Order_Date]],"mmm")</f>
        <v>Jul</v>
      </c>
    </row>
    <row r="548" spans="1:11" x14ac:dyDescent="0.25">
      <c r="A548">
        <v>1547</v>
      </c>
      <c r="B548" s="1" t="s">
        <v>289</v>
      </c>
      <c r="C548" t="s">
        <v>53</v>
      </c>
      <c r="D548" t="s">
        <v>39</v>
      </c>
      <c r="E548" t="s">
        <v>26</v>
      </c>
      <c r="F548" t="s">
        <v>22</v>
      </c>
      <c r="G548">
        <v>5</v>
      </c>
      <c r="H548">
        <v>2500</v>
      </c>
      <c r="I548">
        <v>12500</v>
      </c>
      <c r="J548" s="2">
        <f t="shared" si="8"/>
        <v>45500</v>
      </c>
      <c r="K548" t="str">
        <f>TEXT(Table1[[#This Row],[Order_Date]],"mmm")</f>
        <v>Jul</v>
      </c>
    </row>
    <row r="549" spans="1:11" x14ac:dyDescent="0.25">
      <c r="A549">
        <v>1548</v>
      </c>
      <c r="B549" s="1" t="s">
        <v>109</v>
      </c>
      <c r="C549" t="s">
        <v>50</v>
      </c>
      <c r="D549" t="s">
        <v>16</v>
      </c>
      <c r="E549" t="s">
        <v>35</v>
      </c>
      <c r="F549" t="s">
        <v>22</v>
      </c>
      <c r="G549">
        <v>2</v>
      </c>
      <c r="H549">
        <v>20000</v>
      </c>
      <c r="I549">
        <v>40000</v>
      </c>
      <c r="J549" s="2">
        <f t="shared" si="8"/>
        <v>45330</v>
      </c>
      <c r="K549" t="str">
        <f>TEXT(Table1[[#This Row],[Order_Date]],"mmm")</f>
        <v>Feb</v>
      </c>
    </row>
    <row r="550" spans="1:11" x14ac:dyDescent="0.25">
      <c r="A550">
        <v>1549</v>
      </c>
      <c r="B550" s="1" t="s">
        <v>182</v>
      </c>
      <c r="C550" t="s">
        <v>53</v>
      </c>
      <c r="D550" t="s">
        <v>47</v>
      </c>
      <c r="E550" t="s">
        <v>17</v>
      </c>
      <c r="F550" t="s">
        <v>13</v>
      </c>
      <c r="G550">
        <v>5</v>
      </c>
      <c r="H550">
        <v>3000</v>
      </c>
      <c r="I550">
        <v>15000</v>
      </c>
      <c r="J550" s="2">
        <f t="shared" si="8"/>
        <v>45551</v>
      </c>
      <c r="K550" t="str">
        <f>TEXT(Table1[[#This Row],[Order_Date]],"mmm")</f>
        <v>Sep</v>
      </c>
    </row>
    <row r="551" spans="1:11" x14ac:dyDescent="0.25">
      <c r="A551">
        <v>1550</v>
      </c>
      <c r="B551" s="1" t="s">
        <v>109</v>
      </c>
      <c r="C551" t="s">
        <v>30</v>
      </c>
      <c r="D551" t="s">
        <v>47</v>
      </c>
      <c r="E551" t="s">
        <v>17</v>
      </c>
      <c r="F551" t="s">
        <v>13</v>
      </c>
      <c r="G551">
        <v>3</v>
      </c>
      <c r="H551">
        <v>3000</v>
      </c>
      <c r="I551">
        <v>9000</v>
      </c>
      <c r="J551" s="2">
        <f t="shared" si="8"/>
        <v>45330</v>
      </c>
      <c r="K551" t="str">
        <f>TEXT(Table1[[#This Row],[Order_Date]],"mmm")</f>
        <v>Feb</v>
      </c>
    </row>
    <row r="552" spans="1:11" x14ac:dyDescent="0.25">
      <c r="A552">
        <v>1551</v>
      </c>
      <c r="B552" s="1" t="s">
        <v>337</v>
      </c>
      <c r="C552" t="s">
        <v>30</v>
      </c>
      <c r="D552" t="s">
        <v>20</v>
      </c>
      <c r="E552" t="s">
        <v>35</v>
      </c>
      <c r="F552" t="s">
        <v>22</v>
      </c>
      <c r="G552">
        <v>2</v>
      </c>
      <c r="H552">
        <v>20000</v>
      </c>
      <c r="I552">
        <v>40000</v>
      </c>
      <c r="J552" s="2">
        <f t="shared" si="8"/>
        <v>45586</v>
      </c>
      <c r="K552" t="str">
        <f>TEXT(Table1[[#This Row],[Order_Date]],"mmm")</f>
        <v>Oct</v>
      </c>
    </row>
    <row r="553" spans="1:11" x14ac:dyDescent="0.25">
      <c r="A553">
        <v>1552</v>
      </c>
      <c r="B553" s="1" t="s">
        <v>137</v>
      </c>
      <c r="C553" t="s">
        <v>30</v>
      </c>
      <c r="D553" t="s">
        <v>16</v>
      </c>
      <c r="E553" t="s">
        <v>43</v>
      </c>
      <c r="F553" t="s">
        <v>44</v>
      </c>
      <c r="G553">
        <v>3</v>
      </c>
      <c r="H553">
        <v>1500</v>
      </c>
      <c r="I553">
        <v>4500</v>
      </c>
      <c r="J553" s="2">
        <f t="shared" si="8"/>
        <v>45512</v>
      </c>
      <c r="K553" t="str">
        <f>TEXT(Table1[[#This Row],[Order_Date]],"mmm")</f>
        <v>Aug</v>
      </c>
    </row>
    <row r="554" spans="1:11" x14ac:dyDescent="0.25">
      <c r="A554">
        <v>1553</v>
      </c>
      <c r="B554" s="1" t="s">
        <v>235</v>
      </c>
      <c r="C554" t="s">
        <v>28</v>
      </c>
      <c r="D554" t="s">
        <v>47</v>
      </c>
      <c r="E554" t="s">
        <v>43</v>
      </c>
      <c r="F554" t="s">
        <v>44</v>
      </c>
      <c r="G554">
        <v>2</v>
      </c>
      <c r="H554">
        <v>1500</v>
      </c>
      <c r="I554">
        <v>3000</v>
      </c>
      <c r="J554" s="2">
        <f t="shared" si="8"/>
        <v>45596</v>
      </c>
      <c r="K554" t="str">
        <f>TEXT(Table1[[#This Row],[Order_Date]],"mmm")</f>
        <v>Oct</v>
      </c>
    </row>
    <row r="555" spans="1:11" x14ac:dyDescent="0.25">
      <c r="A555">
        <v>1554</v>
      </c>
      <c r="B555" s="1" t="s">
        <v>338</v>
      </c>
      <c r="C555" t="s">
        <v>50</v>
      </c>
      <c r="D555" t="s">
        <v>20</v>
      </c>
      <c r="E555" t="s">
        <v>48</v>
      </c>
      <c r="F555" t="s">
        <v>44</v>
      </c>
      <c r="G555">
        <v>3</v>
      </c>
      <c r="H555">
        <v>5000</v>
      </c>
      <c r="I555">
        <v>15000</v>
      </c>
      <c r="J555" s="2">
        <f t="shared" si="8"/>
        <v>45511</v>
      </c>
      <c r="K555" t="str">
        <f>TEXT(Table1[[#This Row],[Order_Date]],"mmm")</f>
        <v>Aug</v>
      </c>
    </row>
    <row r="556" spans="1:11" x14ac:dyDescent="0.25">
      <c r="A556">
        <v>1555</v>
      </c>
      <c r="B556" s="1" t="s">
        <v>55</v>
      </c>
      <c r="C556" t="s">
        <v>10</v>
      </c>
      <c r="D556" t="s">
        <v>33</v>
      </c>
      <c r="E556" t="s">
        <v>26</v>
      </c>
      <c r="F556" t="s">
        <v>22</v>
      </c>
      <c r="G556">
        <v>5</v>
      </c>
      <c r="H556">
        <v>2500</v>
      </c>
      <c r="I556">
        <v>12500</v>
      </c>
      <c r="J556" s="2">
        <f t="shared" si="8"/>
        <v>45334</v>
      </c>
      <c r="K556" t="str">
        <f>TEXT(Table1[[#This Row],[Order_Date]],"mmm")</f>
        <v>Feb</v>
      </c>
    </row>
    <row r="557" spans="1:11" x14ac:dyDescent="0.25">
      <c r="A557">
        <v>1556</v>
      </c>
      <c r="B557" s="1" t="s">
        <v>338</v>
      </c>
      <c r="C557" t="s">
        <v>30</v>
      </c>
      <c r="D557" t="s">
        <v>33</v>
      </c>
      <c r="E557" t="s">
        <v>43</v>
      </c>
      <c r="F557" t="s">
        <v>44</v>
      </c>
      <c r="G557">
        <v>2</v>
      </c>
      <c r="H557">
        <v>1500</v>
      </c>
      <c r="I557">
        <v>3000</v>
      </c>
      <c r="J557" s="2">
        <f t="shared" si="8"/>
        <v>45511</v>
      </c>
      <c r="K557" t="str">
        <f>TEXT(Table1[[#This Row],[Order_Date]],"mmm")</f>
        <v>Aug</v>
      </c>
    </row>
    <row r="558" spans="1:11" x14ac:dyDescent="0.25">
      <c r="A558">
        <v>1557</v>
      </c>
      <c r="B558" s="1" t="s">
        <v>201</v>
      </c>
      <c r="C558" t="s">
        <v>30</v>
      </c>
      <c r="D558" t="s">
        <v>33</v>
      </c>
      <c r="E558" t="s">
        <v>51</v>
      </c>
      <c r="F558" t="s">
        <v>13</v>
      </c>
      <c r="G558">
        <v>2</v>
      </c>
      <c r="H558">
        <v>2000</v>
      </c>
      <c r="I558">
        <v>4000</v>
      </c>
      <c r="J558" s="2">
        <f t="shared" si="8"/>
        <v>45513</v>
      </c>
      <c r="K558" t="str">
        <f>TEXT(Table1[[#This Row],[Order_Date]],"mmm")</f>
        <v>Aug</v>
      </c>
    </row>
    <row r="559" spans="1:11" x14ac:dyDescent="0.25">
      <c r="A559">
        <v>1558</v>
      </c>
      <c r="B559" s="1" t="s">
        <v>250</v>
      </c>
      <c r="C559" t="s">
        <v>24</v>
      </c>
      <c r="D559" t="s">
        <v>47</v>
      </c>
      <c r="E559" t="s">
        <v>51</v>
      </c>
      <c r="F559" t="s">
        <v>13</v>
      </c>
      <c r="G559">
        <v>4</v>
      </c>
      <c r="H559">
        <v>2000</v>
      </c>
      <c r="I559">
        <v>8000</v>
      </c>
      <c r="J559" s="2">
        <f t="shared" si="8"/>
        <v>45503</v>
      </c>
      <c r="K559" t="str">
        <f>TEXT(Table1[[#This Row],[Order_Date]],"mmm")</f>
        <v>Jul</v>
      </c>
    </row>
    <row r="560" spans="1:11" x14ac:dyDescent="0.25">
      <c r="A560">
        <v>1559</v>
      </c>
      <c r="B560" s="1" t="s">
        <v>70</v>
      </c>
      <c r="C560" t="s">
        <v>10</v>
      </c>
      <c r="D560" t="s">
        <v>39</v>
      </c>
      <c r="E560" t="s">
        <v>17</v>
      </c>
      <c r="F560" t="s">
        <v>13</v>
      </c>
      <c r="G560">
        <v>2</v>
      </c>
      <c r="H560">
        <v>3000</v>
      </c>
      <c r="I560">
        <v>6000</v>
      </c>
      <c r="J560" s="2">
        <f t="shared" si="8"/>
        <v>45538</v>
      </c>
      <c r="K560" t="str">
        <f>TEXT(Table1[[#This Row],[Order_Date]],"mmm")</f>
        <v>Sep</v>
      </c>
    </row>
    <row r="561" spans="1:11" x14ac:dyDescent="0.25">
      <c r="A561">
        <v>1560</v>
      </c>
      <c r="B561" s="1" t="s">
        <v>153</v>
      </c>
      <c r="C561" t="s">
        <v>32</v>
      </c>
      <c r="D561" t="s">
        <v>16</v>
      </c>
      <c r="E561" t="s">
        <v>43</v>
      </c>
      <c r="F561" t="s">
        <v>44</v>
      </c>
      <c r="G561">
        <v>1</v>
      </c>
      <c r="H561">
        <v>1500</v>
      </c>
      <c r="I561">
        <v>1500</v>
      </c>
      <c r="J561" s="2">
        <f t="shared" si="8"/>
        <v>45421</v>
      </c>
      <c r="K561" t="str">
        <f>TEXT(Table1[[#This Row],[Order_Date]],"mmm")</f>
        <v>May</v>
      </c>
    </row>
    <row r="562" spans="1:11" x14ac:dyDescent="0.25">
      <c r="A562">
        <v>1561</v>
      </c>
      <c r="B562" s="1" t="s">
        <v>134</v>
      </c>
      <c r="C562" t="s">
        <v>10</v>
      </c>
      <c r="D562" t="s">
        <v>39</v>
      </c>
      <c r="E562" t="s">
        <v>26</v>
      </c>
      <c r="F562" t="s">
        <v>22</v>
      </c>
      <c r="G562">
        <v>1</v>
      </c>
      <c r="H562">
        <v>2500</v>
      </c>
      <c r="I562">
        <v>2500</v>
      </c>
      <c r="J562" s="2">
        <f t="shared" si="8"/>
        <v>45555</v>
      </c>
      <c r="K562" t="str">
        <f>TEXT(Table1[[#This Row],[Order_Date]],"mmm")</f>
        <v>Sep</v>
      </c>
    </row>
    <row r="563" spans="1:11" x14ac:dyDescent="0.25">
      <c r="A563">
        <v>1562</v>
      </c>
      <c r="B563" s="1" t="s">
        <v>339</v>
      </c>
      <c r="C563" t="s">
        <v>30</v>
      </c>
      <c r="D563" t="s">
        <v>16</v>
      </c>
      <c r="E563" t="s">
        <v>12</v>
      </c>
      <c r="F563" t="s">
        <v>13</v>
      </c>
      <c r="G563">
        <v>3</v>
      </c>
      <c r="H563">
        <v>800</v>
      </c>
      <c r="I563">
        <v>2400</v>
      </c>
      <c r="J563" s="2">
        <f t="shared" si="8"/>
        <v>45604</v>
      </c>
      <c r="K563" t="str">
        <f>TEXT(Table1[[#This Row],[Order_Date]],"mmm")</f>
        <v>Nov</v>
      </c>
    </row>
    <row r="564" spans="1:11" x14ac:dyDescent="0.25">
      <c r="A564">
        <v>1563</v>
      </c>
      <c r="B564" s="1" t="s">
        <v>157</v>
      </c>
      <c r="C564" t="s">
        <v>32</v>
      </c>
      <c r="D564" t="s">
        <v>47</v>
      </c>
      <c r="E564" t="s">
        <v>48</v>
      </c>
      <c r="F564" t="s">
        <v>44</v>
      </c>
      <c r="G564">
        <v>2</v>
      </c>
      <c r="H564">
        <v>5000</v>
      </c>
      <c r="I564">
        <v>10000</v>
      </c>
      <c r="J564" s="2">
        <f t="shared" si="8"/>
        <v>45396</v>
      </c>
      <c r="K564" t="str">
        <f>TEXT(Table1[[#This Row],[Order_Date]],"mmm")</f>
        <v>Apr</v>
      </c>
    </row>
    <row r="565" spans="1:11" x14ac:dyDescent="0.25">
      <c r="A565">
        <v>1564</v>
      </c>
      <c r="B565" s="1" t="s">
        <v>250</v>
      </c>
      <c r="C565" t="s">
        <v>10</v>
      </c>
      <c r="D565" t="s">
        <v>47</v>
      </c>
      <c r="E565" t="s">
        <v>17</v>
      </c>
      <c r="F565" t="s">
        <v>13</v>
      </c>
      <c r="G565">
        <v>1</v>
      </c>
      <c r="H565">
        <v>3000</v>
      </c>
      <c r="I565">
        <v>3000</v>
      </c>
      <c r="J565" s="2">
        <f t="shared" si="8"/>
        <v>45503</v>
      </c>
      <c r="K565" t="str">
        <f>TEXT(Table1[[#This Row],[Order_Date]],"mmm")</f>
        <v>Jul</v>
      </c>
    </row>
    <row r="566" spans="1:11" x14ac:dyDescent="0.25">
      <c r="A566">
        <v>1565</v>
      </c>
      <c r="B566" s="1" t="s">
        <v>340</v>
      </c>
      <c r="C566" t="s">
        <v>57</v>
      </c>
      <c r="D566" t="s">
        <v>16</v>
      </c>
      <c r="E566" t="s">
        <v>48</v>
      </c>
      <c r="F566" t="s">
        <v>44</v>
      </c>
      <c r="G566">
        <v>1</v>
      </c>
      <c r="H566">
        <v>5000</v>
      </c>
      <c r="I566">
        <v>5000</v>
      </c>
      <c r="J566" s="2">
        <f t="shared" si="8"/>
        <v>45316</v>
      </c>
      <c r="K566" t="str">
        <f>TEXT(Table1[[#This Row],[Order_Date]],"mmm")</f>
        <v>Jan</v>
      </c>
    </row>
    <row r="567" spans="1:11" x14ac:dyDescent="0.25">
      <c r="A567">
        <v>1566</v>
      </c>
      <c r="B567" s="1" t="s">
        <v>300</v>
      </c>
      <c r="C567" t="s">
        <v>42</v>
      </c>
      <c r="D567" t="s">
        <v>47</v>
      </c>
      <c r="E567" t="s">
        <v>12</v>
      </c>
      <c r="F567" t="s">
        <v>13</v>
      </c>
      <c r="G567">
        <v>3</v>
      </c>
      <c r="H567">
        <v>800</v>
      </c>
      <c r="I567">
        <v>2400</v>
      </c>
      <c r="J567" s="2">
        <f t="shared" si="8"/>
        <v>45305</v>
      </c>
      <c r="K567" t="str">
        <f>TEXT(Table1[[#This Row],[Order_Date]],"mmm")</f>
        <v>Jan</v>
      </c>
    </row>
    <row r="568" spans="1:11" x14ac:dyDescent="0.25">
      <c r="A568">
        <v>1567</v>
      </c>
      <c r="B568" s="1" t="s">
        <v>337</v>
      </c>
      <c r="C568" t="s">
        <v>15</v>
      </c>
      <c r="D568" t="s">
        <v>39</v>
      </c>
      <c r="E568" t="s">
        <v>26</v>
      </c>
      <c r="F568" t="s">
        <v>22</v>
      </c>
      <c r="G568">
        <v>3</v>
      </c>
      <c r="H568">
        <v>2500</v>
      </c>
      <c r="I568">
        <v>7500</v>
      </c>
      <c r="J568" s="2">
        <f t="shared" si="8"/>
        <v>45586</v>
      </c>
      <c r="K568" t="str">
        <f>TEXT(Table1[[#This Row],[Order_Date]],"mmm")</f>
        <v>Oct</v>
      </c>
    </row>
    <row r="569" spans="1:11" x14ac:dyDescent="0.25">
      <c r="A569">
        <v>1568</v>
      </c>
      <c r="B569" s="1" t="s">
        <v>341</v>
      </c>
      <c r="C569" t="s">
        <v>57</v>
      </c>
      <c r="D569" t="s">
        <v>33</v>
      </c>
      <c r="E569" t="s">
        <v>12</v>
      </c>
      <c r="F569" t="s">
        <v>13</v>
      </c>
      <c r="G569">
        <v>1</v>
      </c>
      <c r="H569">
        <v>800</v>
      </c>
      <c r="I569">
        <v>800</v>
      </c>
      <c r="J569" s="2">
        <f t="shared" si="8"/>
        <v>45458</v>
      </c>
      <c r="K569" t="str">
        <f>TEXT(Table1[[#This Row],[Order_Date]],"mmm")</f>
        <v>Jun</v>
      </c>
    </row>
    <row r="570" spans="1:11" x14ac:dyDescent="0.25">
      <c r="A570">
        <v>1569</v>
      </c>
      <c r="B570" s="1" t="s">
        <v>224</v>
      </c>
      <c r="C570" t="s">
        <v>10</v>
      </c>
      <c r="D570" t="s">
        <v>39</v>
      </c>
      <c r="E570" t="s">
        <v>12</v>
      </c>
      <c r="F570" t="s">
        <v>13</v>
      </c>
      <c r="G570">
        <v>3</v>
      </c>
      <c r="H570">
        <v>800</v>
      </c>
      <c r="I570">
        <v>2400</v>
      </c>
      <c r="J570" s="2">
        <f t="shared" si="8"/>
        <v>45625</v>
      </c>
      <c r="K570" t="str">
        <f>TEXT(Table1[[#This Row],[Order_Date]],"mmm")</f>
        <v>Nov</v>
      </c>
    </row>
    <row r="571" spans="1:11" x14ac:dyDescent="0.25">
      <c r="A571">
        <v>1570</v>
      </c>
      <c r="B571" s="1" t="s">
        <v>82</v>
      </c>
      <c r="C571" t="s">
        <v>53</v>
      </c>
      <c r="D571" t="s">
        <v>39</v>
      </c>
      <c r="E571" t="s">
        <v>48</v>
      </c>
      <c r="F571" t="s">
        <v>44</v>
      </c>
      <c r="G571">
        <v>5</v>
      </c>
      <c r="H571">
        <v>5000</v>
      </c>
      <c r="I571">
        <v>25000</v>
      </c>
      <c r="J571" s="2">
        <f t="shared" si="8"/>
        <v>45514</v>
      </c>
      <c r="K571" t="str">
        <f>TEXT(Table1[[#This Row],[Order_Date]],"mmm")</f>
        <v>Aug</v>
      </c>
    </row>
    <row r="572" spans="1:11" x14ac:dyDescent="0.25">
      <c r="A572">
        <v>1571</v>
      </c>
      <c r="B572" s="1" t="s">
        <v>111</v>
      </c>
      <c r="C572" t="s">
        <v>38</v>
      </c>
      <c r="D572" t="s">
        <v>16</v>
      </c>
      <c r="E572" t="s">
        <v>43</v>
      </c>
      <c r="F572" t="s">
        <v>44</v>
      </c>
      <c r="G572">
        <v>1</v>
      </c>
      <c r="H572">
        <v>1500</v>
      </c>
      <c r="I572">
        <v>1500</v>
      </c>
      <c r="J572" s="2">
        <f t="shared" si="8"/>
        <v>45297</v>
      </c>
      <c r="K572" t="str">
        <f>TEXT(Table1[[#This Row],[Order_Date]],"mmm")</f>
        <v>Jan</v>
      </c>
    </row>
    <row r="573" spans="1:11" x14ac:dyDescent="0.25">
      <c r="A573">
        <v>1572</v>
      </c>
      <c r="B573" s="1" t="s">
        <v>302</v>
      </c>
      <c r="C573" t="s">
        <v>50</v>
      </c>
      <c r="D573" t="s">
        <v>25</v>
      </c>
      <c r="E573" t="s">
        <v>35</v>
      </c>
      <c r="F573" t="s">
        <v>22</v>
      </c>
      <c r="G573">
        <v>3</v>
      </c>
      <c r="H573">
        <v>20000</v>
      </c>
      <c r="I573">
        <v>60000</v>
      </c>
      <c r="J573" s="2">
        <f t="shared" si="8"/>
        <v>45446</v>
      </c>
      <c r="K573" t="str">
        <f>TEXT(Table1[[#This Row],[Order_Date]],"mmm")</f>
        <v>Jun</v>
      </c>
    </row>
    <row r="574" spans="1:11" x14ac:dyDescent="0.25">
      <c r="A574">
        <v>1573</v>
      </c>
      <c r="B574" s="1" t="s">
        <v>58</v>
      </c>
      <c r="C574" t="s">
        <v>24</v>
      </c>
      <c r="D574" t="s">
        <v>16</v>
      </c>
      <c r="E574" t="s">
        <v>51</v>
      </c>
      <c r="F574" t="s">
        <v>13</v>
      </c>
      <c r="G574">
        <v>3</v>
      </c>
      <c r="H574">
        <v>2000</v>
      </c>
      <c r="I574">
        <v>6000</v>
      </c>
      <c r="J574" s="2">
        <f t="shared" si="8"/>
        <v>45407</v>
      </c>
      <c r="K574" t="str">
        <f>TEXT(Table1[[#This Row],[Order_Date]],"mmm")</f>
        <v>Apr</v>
      </c>
    </row>
    <row r="575" spans="1:11" x14ac:dyDescent="0.25">
      <c r="A575">
        <v>1574</v>
      </c>
      <c r="B575" s="1" t="s">
        <v>234</v>
      </c>
      <c r="C575" t="s">
        <v>57</v>
      </c>
      <c r="D575" t="s">
        <v>11</v>
      </c>
      <c r="E575" t="s">
        <v>48</v>
      </c>
      <c r="F575" t="s">
        <v>44</v>
      </c>
      <c r="G575">
        <v>3</v>
      </c>
      <c r="H575">
        <v>5000</v>
      </c>
      <c r="I575">
        <v>15000</v>
      </c>
      <c r="J575" s="2">
        <f t="shared" si="8"/>
        <v>45634</v>
      </c>
      <c r="K575" t="str">
        <f>TEXT(Table1[[#This Row],[Order_Date]],"mmm")</f>
        <v>Dec</v>
      </c>
    </row>
    <row r="576" spans="1:11" x14ac:dyDescent="0.25">
      <c r="A576">
        <v>1575</v>
      </c>
      <c r="B576" s="1" t="s">
        <v>177</v>
      </c>
      <c r="C576" t="s">
        <v>24</v>
      </c>
      <c r="D576" t="s">
        <v>16</v>
      </c>
      <c r="E576" t="s">
        <v>17</v>
      </c>
      <c r="F576" t="s">
        <v>13</v>
      </c>
      <c r="G576">
        <v>1</v>
      </c>
      <c r="H576">
        <v>3000</v>
      </c>
      <c r="I576">
        <v>3000</v>
      </c>
      <c r="J576" s="2">
        <f t="shared" si="8"/>
        <v>45622</v>
      </c>
      <c r="K576" t="str">
        <f>TEXT(Table1[[#This Row],[Order_Date]],"mmm")</f>
        <v>Nov</v>
      </c>
    </row>
    <row r="577" spans="1:11" x14ac:dyDescent="0.25">
      <c r="A577">
        <v>1576</v>
      </c>
      <c r="B577" s="1" t="s">
        <v>60</v>
      </c>
      <c r="C577" t="s">
        <v>24</v>
      </c>
      <c r="D577" t="s">
        <v>39</v>
      </c>
      <c r="E577" t="s">
        <v>17</v>
      </c>
      <c r="F577" t="s">
        <v>13</v>
      </c>
      <c r="G577">
        <v>1</v>
      </c>
      <c r="H577">
        <v>3000</v>
      </c>
      <c r="I577">
        <v>3000</v>
      </c>
      <c r="J577" s="2">
        <f t="shared" si="8"/>
        <v>45580</v>
      </c>
      <c r="K577" t="str">
        <f>TEXT(Table1[[#This Row],[Order_Date]],"mmm")</f>
        <v>Oct</v>
      </c>
    </row>
    <row r="578" spans="1:11" x14ac:dyDescent="0.25">
      <c r="A578">
        <v>1577</v>
      </c>
      <c r="B578" s="1" t="s">
        <v>114</v>
      </c>
      <c r="C578" t="s">
        <v>57</v>
      </c>
      <c r="D578" t="s">
        <v>33</v>
      </c>
      <c r="E578" t="s">
        <v>21</v>
      </c>
      <c r="F578" t="s">
        <v>22</v>
      </c>
      <c r="G578">
        <v>5</v>
      </c>
      <c r="H578">
        <v>50000</v>
      </c>
      <c r="I578">
        <v>250000</v>
      </c>
      <c r="J578" s="2">
        <f t="shared" ref="J578:J601" si="9">DATE(RIGHT(B578,4), MID(B578,4,2), LEFT(B578,2))</f>
        <v>45525</v>
      </c>
      <c r="K578" t="str">
        <f>TEXT(Table1[[#This Row],[Order_Date]],"mmm")</f>
        <v>Aug</v>
      </c>
    </row>
    <row r="579" spans="1:11" x14ac:dyDescent="0.25">
      <c r="A579">
        <v>1578</v>
      </c>
      <c r="B579" s="1" t="s">
        <v>342</v>
      </c>
      <c r="C579" t="s">
        <v>50</v>
      </c>
      <c r="D579" t="s">
        <v>20</v>
      </c>
      <c r="E579" t="s">
        <v>26</v>
      </c>
      <c r="F579" t="s">
        <v>22</v>
      </c>
      <c r="G579">
        <v>1</v>
      </c>
      <c r="H579">
        <v>2500</v>
      </c>
      <c r="I579">
        <v>2500</v>
      </c>
      <c r="J579" s="2">
        <f t="shared" si="9"/>
        <v>45522</v>
      </c>
      <c r="K579" t="str">
        <f>TEXT(Table1[[#This Row],[Order_Date]],"mmm")</f>
        <v>Aug</v>
      </c>
    </row>
    <row r="580" spans="1:11" x14ac:dyDescent="0.25">
      <c r="A580">
        <v>1579</v>
      </c>
      <c r="B580" s="1" t="s">
        <v>343</v>
      </c>
      <c r="C580" t="s">
        <v>10</v>
      </c>
      <c r="D580" t="s">
        <v>33</v>
      </c>
      <c r="E580" t="s">
        <v>48</v>
      </c>
      <c r="F580" t="s">
        <v>44</v>
      </c>
      <c r="G580">
        <v>5</v>
      </c>
      <c r="H580">
        <v>5000</v>
      </c>
      <c r="I580">
        <v>25000</v>
      </c>
      <c r="J580" s="2">
        <f t="shared" si="9"/>
        <v>45654</v>
      </c>
      <c r="K580" t="str">
        <f>TEXT(Table1[[#This Row],[Order_Date]],"mmm")</f>
        <v>Dec</v>
      </c>
    </row>
    <row r="581" spans="1:11" x14ac:dyDescent="0.25">
      <c r="A581">
        <v>1580</v>
      </c>
      <c r="B581" s="1" t="s">
        <v>344</v>
      </c>
      <c r="C581" t="s">
        <v>10</v>
      </c>
      <c r="D581" t="s">
        <v>16</v>
      </c>
      <c r="E581" t="s">
        <v>48</v>
      </c>
      <c r="F581" t="s">
        <v>44</v>
      </c>
      <c r="G581">
        <v>5</v>
      </c>
      <c r="H581">
        <v>5000</v>
      </c>
      <c r="I581">
        <v>25000</v>
      </c>
      <c r="J581" s="2">
        <f t="shared" si="9"/>
        <v>45345</v>
      </c>
      <c r="K581" t="str">
        <f>TEXT(Table1[[#This Row],[Order_Date]],"mmm")</f>
        <v>Feb</v>
      </c>
    </row>
    <row r="582" spans="1:11" x14ac:dyDescent="0.25">
      <c r="A582">
        <v>1581</v>
      </c>
      <c r="B582" s="1" t="s">
        <v>314</v>
      </c>
      <c r="C582" t="s">
        <v>30</v>
      </c>
      <c r="D582" t="s">
        <v>39</v>
      </c>
      <c r="E582" t="s">
        <v>43</v>
      </c>
      <c r="F582" t="s">
        <v>44</v>
      </c>
      <c r="G582">
        <v>1</v>
      </c>
      <c r="H582">
        <v>1500</v>
      </c>
      <c r="I582">
        <v>1500</v>
      </c>
      <c r="J582" s="2">
        <f t="shared" si="9"/>
        <v>45523</v>
      </c>
      <c r="K582" t="str">
        <f>TEXT(Table1[[#This Row],[Order_Date]],"mmm")</f>
        <v>Aug</v>
      </c>
    </row>
    <row r="583" spans="1:11" x14ac:dyDescent="0.25">
      <c r="A583">
        <v>1582</v>
      </c>
      <c r="B583" s="1" t="s">
        <v>255</v>
      </c>
      <c r="C583" t="s">
        <v>53</v>
      </c>
      <c r="D583" t="s">
        <v>39</v>
      </c>
      <c r="E583" t="s">
        <v>21</v>
      </c>
      <c r="F583" t="s">
        <v>22</v>
      </c>
      <c r="G583">
        <v>1</v>
      </c>
      <c r="H583">
        <v>50000</v>
      </c>
      <c r="I583">
        <v>50000</v>
      </c>
      <c r="J583" s="2">
        <f t="shared" si="9"/>
        <v>45464</v>
      </c>
      <c r="K583" t="str">
        <f>TEXT(Table1[[#This Row],[Order_Date]],"mmm")</f>
        <v>Jun</v>
      </c>
    </row>
    <row r="584" spans="1:11" x14ac:dyDescent="0.25">
      <c r="A584">
        <v>1583</v>
      </c>
      <c r="B584" s="1" t="s">
        <v>242</v>
      </c>
      <c r="C584" t="s">
        <v>57</v>
      </c>
      <c r="D584" t="s">
        <v>33</v>
      </c>
      <c r="E584" t="s">
        <v>21</v>
      </c>
      <c r="F584" t="s">
        <v>22</v>
      </c>
      <c r="G584">
        <v>4</v>
      </c>
      <c r="H584">
        <v>50000</v>
      </c>
      <c r="I584">
        <v>200000</v>
      </c>
      <c r="J584" s="2">
        <f t="shared" si="9"/>
        <v>45541</v>
      </c>
      <c r="K584" t="str">
        <f>TEXT(Table1[[#This Row],[Order_Date]],"mmm")</f>
        <v>Sep</v>
      </c>
    </row>
    <row r="585" spans="1:11" x14ac:dyDescent="0.25">
      <c r="A585">
        <v>1584</v>
      </c>
      <c r="B585" s="1" t="s">
        <v>345</v>
      </c>
      <c r="C585" t="s">
        <v>32</v>
      </c>
      <c r="D585" t="s">
        <v>20</v>
      </c>
      <c r="E585" t="s">
        <v>12</v>
      </c>
      <c r="F585" t="s">
        <v>13</v>
      </c>
      <c r="G585">
        <v>5</v>
      </c>
      <c r="H585">
        <v>800</v>
      </c>
      <c r="I585">
        <v>4000</v>
      </c>
      <c r="J585" s="2">
        <f t="shared" si="9"/>
        <v>45510</v>
      </c>
      <c r="K585" t="str">
        <f>TEXT(Table1[[#This Row],[Order_Date]],"mmm")</f>
        <v>Aug</v>
      </c>
    </row>
    <row r="586" spans="1:11" x14ac:dyDescent="0.25">
      <c r="A586">
        <v>1585</v>
      </c>
      <c r="B586" s="1" t="s">
        <v>346</v>
      </c>
      <c r="C586" t="s">
        <v>57</v>
      </c>
      <c r="D586" t="s">
        <v>25</v>
      </c>
      <c r="E586" t="s">
        <v>21</v>
      </c>
      <c r="F586" t="s">
        <v>22</v>
      </c>
      <c r="G586">
        <v>2</v>
      </c>
      <c r="H586">
        <v>50000</v>
      </c>
      <c r="I586">
        <v>100000</v>
      </c>
      <c r="J586" s="2">
        <f t="shared" si="9"/>
        <v>45657</v>
      </c>
      <c r="K586" t="str">
        <f>TEXT(Table1[[#This Row],[Order_Date]],"mmm")</f>
        <v>Dec</v>
      </c>
    </row>
    <row r="587" spans="1:11" x14ac:dyDescent="0.25">
      <c r="A587">
        <v>1586</v>
      </c>
      <c r="B587" s="1" t="s">
        <v>94</v>
      </c>
      <c r="C587" t="s">
        <v>19</v>
      </c>
      <c r="D587" t="s">
        <v>33</v>
      </c>
      <c r="E587" t="s">
        <v>43</v>
      </c>
      <c r="F587" t="s">
        <v>44</v>
      </c>
      <c r="G587">
        <v>5</v>
      </c>
      <c r="H587">
        <v>1500</v>
      </c>
      <c r="I587">
        <v>7500</v>
      </c>
      <c r="J587" s="2">
        <f t="shared" si="9"/>
        <v>45553</v>
      </c>
      <c r="K587" t="str">
        <f>TEXT(Table1[[#This Row],[Order_Date]],"mmm")</f>
        <v>Sep</v>
      </c>
    </row>
    <row r="588" spans="1:11" x14ac:dyDescent="0.25">
      <c r="A588">
        <v>1587</v>
      </c>
      <c r="B588" s="1" t="s">
        <v>287</v>
      </c>
      <c r="C588" t="s">
        <v>10</v>
      </c>
      <c r="D588" t="s">
        <v>16</v>
      </c>
      <c r="E588" t="s">
        <v>48</v>
      </c>
      <c r="F588" t="s">
        <v>44</v>
      </c>
      <c r="G588">
        <v>1</v>
      </c>
      <c r="H588">
        <v>5000</v>
      </c>
      <c r="I588">
        <v>5000</v>
      </c>
      <c r="J588" s="2">
        <f t="shared" si="9"/>
        <v>45561</v>
      </c>
      <c r="K588" t="str">
        <f>TEXT(Table1[[#This Row],[Order_Date]],"mmm")</f>
        <v>Sep</v>
      </c>
    </row>
    <row r="589" spans="1:11" x14ac:dyDescent="0.25">
      <c r="A589">
        <v>1588</v>
      </c>
      <c r="B589" s="1" t="s">
        <v>119</v>
      </c>
      <c r="C589" t="s">
        <v>42</v>
      </c>
      <c r="D589" t="s">
        <v>25</v>
      </c>
      <c r="E589" t="s">
        <v>12</v>
      </c>
      <c r="F589" t="s">
        <v>13</v>
      </c>
      <c r="G589">
        <v>5</v>
      </c>
      <c r="H589">
        <v>800</v>
      </c>
      <c r="I589">
        <v>4000</v>
      </c>
      <c r="J589" s="2">
        <f t="shared" si="9"/>
        <v>45620</v>
      </c>
      <c r="K589" t="str">
        <f>TEXT(Table1[[#This Row],[Order_Date]],"mmm")</f>
        <v>Nov</v>
      </c>
    </row>
    <row r="590" spans="1:11" x14ac:dyDescent="0.25">
      <c r="A590">
        <v>1589</v>
      </c>
      <c r="B590" s="1" t="s">
        <v>323</v>
      </c>
      <c r="C590" t="s">
        <v>50</v>
      </c>
      <c r="D590" t="s">
        <v>11</v>
      </c>
      <c r="E590" t="s">
        <v>17</v>
      </c>
      <c r="F590" t="s">
        <v>13</v>
      </c>
      <c r="G590">
        <v>1</v>
      </c>
      <c r="H590">
        <v>3000</v>
      </c>
      <c r="I590">
        <v>3000</v>
      </c>
      <c r="J590" s="2">
        <f t="shared" si="9"/>
        <v>45533</v>
      </c>
      <c r="K590" t="str">
        <f>TEXT(Table1[[#This Row],[Order_Date]],"mmm")</f>
        <v>Aug</v>
      </c>
    </row>
    <row r="591" spans="1:11" x14ac:dyDescent="0.25">
      <c r="A591">
        <v>1590</v>
      </c>
      <c r="B591" s="1" t="s">
        <v>347</v>
      </c>
      <c r="C591" t="s">
        <v>15</v>
      </c>
      <c r="D591" t="s">
        <v>11</v>
      </c>
      <c r="E591" t="s">
        <v>35</v>
      </c>
      <c r="F591" t="s">
        <v>22</v>
      </c>
      <c r="G591">
        <v>5</v>
      </c>
      <c r="H591">
        <v>20000</v>
      </c>
      <c r="I591">
        <v>100000</v>
      </c>
      <c r="J591" s="2">
        <f t="shared" si="9"/>
        <v>45535</v>
      </c>
      <c r="K591" t="str">
        <f>TEXT(Table1[[#This Row],[Order_Date]],"mmm")</f>
        <v>Aug</v>
      </c>
    </row>
    <row r="592" spans="1:11" x14ac:dyDescent="0.25">
      <c r="A592">
        <v>1591</v>
      </c>
      <c r="B592" s="1" t="s">
        <v>225</v>
      </c>
      <c r="C592" t="s">
        <v>30</v>
      </c>
      <c r="D592" t="s">
        <v>20</v>
      </c>
      <c r="E592" t="s">
        <v>17</v>
      </c>
      <c r="F592" t="s">
        <v>13</v>
      </c>
      <c r="G592">
        <v>3</v>
      </c>
      <c r="H592">
        <v>3000</v>
      </c>
      <c r="I592">
        <v>9000</v>
      </c>
      <c r="J592" s="2">
        <f t="shared" si="9"/>
        <v>45430</v>
      </c>
      <c r="K592" t="str">
        <f>TEXT(Table1[[#This Row],[Order_Date]],"mmm")</f>
        <v>May</v>
      </c>
    </row>
    <row r="593" spans="1:11" x14ac:dyDescent="0.25">
      <c r="A593">
        <v>1592</v>
      </c>
      <c r="B593" s="1" t="s">
        <v>315</v>
      </c>
      <c r="C593" t="s">
        <v>30</v>
      </c>
      <c r="D593" t="s">
        <v>47</v>
      </c>
      <c r="E593" t="s">
        <v>26</v>
      </c>
      <c r="F593" t="s">
        <v>22</v>
      </c>
      <c r="G593">
        <v>4</v>
      </c>
      <c r="H593">
        <v>2500</v>
      </c>
      <c r="I593">
        <v>10000</v>
      </c>
      <c r="J593" s="2">
        <f t="shared" si="9"/>
        <v>45319</v>
      </c>
      <c r="K593" t="str">
        <f>TEXT(Table1[[#This Row],[Order_Date]],"mmm")</f>
        <v>Jan</v>
      </c>
    </row>
    <row r="594" spans="1:11" x14ac:dyDescent="0.25">
      <c r="A594">
        <v>1593</v>
      </c>
      <c r="B594" s="1" t="s">
        <v>315</v>
      </c>
      <c r="C594" t="s">
        <v>32</v>
      </c>
      <c r="D594" t="s">
        <v>25</v>
      </c>
      <c r="E594" t="s">
        <v>43</v>
      </c>
      <c r="F594" t="s">
        <v>44</v>
      </c>
      <c r="G594">
        <v>1</v>
      </c>
      <c r="H594">
        <v>1500</v>
      </c>
      <c r="I594">
        <v>1500</v>
      </c>
      <c r="J594" s="2">
        <f t="shared" si="9"/>
        <v>45319</v>
      </c>
      <c r="K594" t="str">
        <f>TEXT(Table1[[#This Row],[Order_Date]],"mmm")</f>
        <v>Jan</v>
      </c>
    </row>
    <row r="595" spans="1:11" x14ac:dyDescent="0.25">
      <c r="A595">
        <v>1594</v>
      </c>
      <c r="B595" s="1" t="s">
        <v>108</v>
      </c>
      <c r="C595" t="s">
        <v>53</v>
      </c>
      <c r="D595" t="s">
        <v>16</v>
      </c>
      <c r="E595" t="s">
        <v>35</v>
      </c>
      <c r="F595" t="s">
        <v>22</v>
      </c>
      <c r="G595">
        <v>5</v>
      </c>
      <c r="H595">
        <v>20000</v>
      </c>
      <c r="I595">
        <v>100000</v>
      </c>
      <c r="J595" s="2">
        <f t="shared" si="9"/>
        <v>45443</v>
      </c>
      <c r="K595" t="str">
        <f>TEXT(Table1[[#This Row],[Order_Date]],"mmm")</f>
        <v>May</v>
      </c>
    </row>
    <row r="596" spans="1:11" x14ac:dyDescent="0.25">
      <c r="A596">
        <v>1595</v>
      </c>
      <c r="B596" s="1" t="s">
        <v>66</v>
      </c>
      <c r="C596" t="s">
        <v>42</v>
      </c>
      <c r="D596" t="s">
        <v>25</v>
      </c>
      <c r="E596" t="s">
        <v>48</v>
      </c>
      <c r="F596" t="s">
        <v>44</v>
      </c>
      <c r="G596">
        <v>3</v>
      </c>
      <c r="H596">
        <v>5000</v>
      </c>
      <c r="I596">
        <v>15000</v>
      </c>
      <c r="J596" s="2">
        <f t="shared" si="9"/>
        <v>45568</v>
      </c>
      <c r="K596" t="str">
        <f>TEXT(Table1[[#This Row],[Order_Date]],"mmm")</f>
        <v>Oct</v>
      </c>
    </row>
    <row r="597" spans="1:11" x14ac:dyDescent="0.25">
      <c r="A597">
        <v>1596</v>
      </c>
      <c r="B597" s="1" t="s">
        <v>62</v>
      </c>
      <c r="C597" t="s">
        <v>53</v>
      </c>
      <c r="D597" t="s">
        <v>20</v>
      </c>
      <c r="E597" t="s">
        <v>21</v>
      </c>
      <c r="F597" t="s">
        <v>22</v>
      </c>
      <c r="G597">
        <v>1</v>
      </c>
      <c r="H597">
        <v>50000</v>
      </c>
      <c r="I597">
        <v>50000</v>
      </c>
      <c r="J597" s="2">
        <f t="shared" si="9"/>
        <v>45321</v>
      </c>
      <c r="K597" t="str">
        <f>TEXT(Table1[[#This Row],[Order_Date]],"mmm")</f>
        <v>Jan</v>
      </c>
    </row>
    <row r="598" spans="1:11" x14ac:dyDescent="0.25">
      <c r="A598">
        <v>1597</v>
      </c>
      <c r="B598" s="1" t="s">
        <v>122</v>
      </c>
      <c r="C598" t="s">
        <v>50</v>
      </c>
      <c r="D598" t="s">
        <v>33</v>
      </c>
      <c r="E598" t="s">
        <v>17</v>
      </c>
      <c r="F598" t="s">
        <v>13</v>
      </c>
      <c r="G598">
        <v>3</v>
      </c>
      <c r="H598">
        <v>3000</v>
      </c>
      <c r="I598">
        <v>9000</v>
      </c>
      <c r="J598" s="2">
        <f t="shared" si="9"/>
        <v>45498</v>
      </c>
      <c r="K598" t="str">
        <f>TEXT(Table1[[#This Row],[Order_Date]],"mmm")</f>
        <v>Jul</v>
      </c>
    </row>
    <row r="599" spans="1:11" x14ac:dyDescent="0.25">
      <c r="A599">
        <v>1598</v>
      </c>
      <c r="B599" s="1" t="s">
        <v>171</v>
      </c>
      <c r="C599" t="s">
        <v>50</v>
      </c>
      <c r="D599" t="s">
        <v>25</v>
      </c>
      <c r="E599" t="s">
        <v>35</v>
      </c>
      <c r="F599" t="s">
        <v>22</v>
      </c>
      <c r="G599">
        <v>5</v>
      </c>
      <c r="H599">
        <v>20000</v>
      </c>
      <c r="I599">
        <v>100000</v>
      </c>
      <c r="J599" s="2">
        <f t="shared" si="9"/>
        <v>45609</v>
      </c>
      <c r="K599" t="str">
        <f>TEXT(Table1[[#This Row],[Order_Date]],"mmm")</f>
        <v>Nov</v>
      </c>
    </row>
    <row r="600" spans="1:11" x14ac:dyDescent="0.25">
      <c r="A600">
        <v>1599</v>
      </c>
      <c r="B600" s="1" t="s">
        <v>348</v>
      </c>
      <c r="C600" t="s">
        <v>30</v>
      </c>
      <c r="D600" t="s">
        <v>20</v>
      </c>
      <c r="E600" t="s">
        <v>48</v>
      </c>
      <c r="F600" t="s">
        <v>44</v>
      </c>
      <c r="G600">
        <v>1</v>
      </c>
      <c r="H600">
        <v>5000</v>
      </c>
      <c r="I600">
        <v>5000</v>
      </c>
      <c r="J600" s="2">
        <f t="shared" si="9"/>
        <v>45543</v>
      </c>
      <c r="K600" t="str">
        <f>TEXT(Table1[[#This Row],[Order_Date]],"mmm")</f>
        <v>Sep</v>
      </c>
    </row>
    <row r="601" spans="1:11" x14ac:dyDescent="0.25">
      <c r="A601">
        <v>1600</v>
      </c>
      <c r="B601" s="1" t="s">
        <v>14</v>
      </c>
      <c r="C601" t="s">
        <v>19</v>
      </c>
      <c r="D601" t="s">
        <v>20</v>
      </c>
      <c r="E601" t="s">
        <v>17</v>
      </c>
      <c r="F601" t="s">
        <v>13</v>
      </c>
      <c r="G601">
        <v>3</v>
      </c>
      <c r="H601">
        <v>3000</v>
      </c>
      <c r="I601">
        <v>9000</v>
      </c>
      <c r="J601" s="2">
        <f t="shared" si="9"/>
        <v>45574</v>
      </c>
      <c r="K601" t="str">
        <f>TEXT(Table1[[#This Row],[Order_Date]],"mmm")</f>
        <v>Oct</v>
      </c>
    </row>
  </sheetData>
  <phoneticPr fontId="2" type="noConversion"/>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Sheet1</vt:lpstr>
      <vt:lpstr>Ecommerce_Data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Manav Italiya</cp:lastModifiedBy>
  <cp:lastPrinted>2026-04-02T06:29:33Z</cp:lastPrinted>
  <dcterms:created xsi:type="dcterms:W3CDTF">2026-04-02T04:18:15Z</dcterms:created>
  <dcterms:modified xsi:type="dcterms:W3CDTF">2026-04-02T06:45:02Z</dcterms:modified>
</cp:coreProperties>
</file>